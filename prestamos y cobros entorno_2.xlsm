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\Desktop\control prestamos y cobros\"/>
    </mc:Choice>
  </mc:AlternateContent>
  <xr:revisionPtr revIDLastSave="0" documentId="13_ncr:1_{1B35A4B3-2212-41D0-82CA-E7873A450ABA}" xr6:coauthVersionLast="47" xr6:coauthVersionMax="47" xr10:uidLastSave="{00000000-0000-0000-0000-000000000000}"/>
  <bookViews>
    <workbookView xWindow="-120" yWindow="-120" windowWidth="20730" windowHeight="11160" activeTab="2" xr2:uid="{47D69E60-56F6-412A-B92A-5296859DB778}"/>
  </bookViews>
  <sheets>
    <sheet name="CLIENTES" sheetId="1" r:id="rId1"/>
    <sheet name="CALCULADORA" sheetId="2" r:id="rId2"/>
    <sheet name="ESTADOS" sheetId="3" r:id="rId3"/>
    <sheet name="RESUMEN" sheetId="4" r:id="rId4"/>
    <sheet name="FACTURACION" sheetId="8" r:id="rId5"/>
    <sheet name="DATOS" sheetId="5" r:id="rId6"/>
    <sheet name="Table 1" sheetId="7" r:id="rId7"/>
  </sheets>
  <functionGroups builtInGroupCount="19"/>
  <definedNames>
    <definedName name="_xlnm._FilterDatabase" localSheetId="2" hidden="1">ESTADOS!$E$1:$F$2</definedName>
    <definedName name="DatosExternos_1" localSheetId="6" hidden="1">'Table 1'!$A$1:$E$2</definedName>
    <definedName name="MODALIDAD">DATOS!$C$8:$C$10</definedName>
    <definedName name="NUMCUOTAS">DATOS!$A$2:$A$25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10" i="4"/>
  <c r="D11" i="4"/>
  <c r="D12" i="4"/>
  <c r="D13" i="4"/>
  <c r="D14" i="4"/>
  <c r="D15" i="4"/>
  <c r="D16" i="4"/>
  <c r="C5" i="3"/>
  <c r="E5" i="3"/>
  <c r="F5" i="3"/>
  <c r="G5" i="3"/>
  <c r="L5" i="3"/>
  <c r="C6" i="3"/>
  <c r="E6" i="3"/>
  <c r="F6" i="3"/>
  <c r="G6" i="3"/>
  <c r="L6" i="3"/>
  <c r="C7" i="3"/>
  <c r="E7" i="3"/>
  <c r="F7" i="3"/>
  <c r="G7" i="3"/>
  <c r="L7" i="3"/>
  <c r="C8" i="3"/>
  <c r="E8" i="3"/>
  <c r="F8" i="3"/>
  <c r="G8" i="3"/>
  <c r="L8" i="3"/>
  <c r="C9" i="3"/>
  <c r="E9" i="3"/>
  <c r="F9" i="3"/>
  <c r="G9" i="3"/>
  <c r="L9" i="3"/>
  <c r="C10" i="3"/>
  <c r="E10" i="3"/>
  <c r="F10" i="3"/>
  <c r="G10" i="3"/>
  <c r="L10" i="3"/>
  <c r="C11" i="3"/>
  <c r="E11" i="3"/>
  <c r="F11" i="3"/>
  <c r="G11" i="3"/>
  <c r="L11" i="3"/>
  <c r="C12" i="3"/>
  <c r="E12" i="3"/>
  <c r="F12" i="3"/>
  <c r="G12" i="3"/>
  <c r="L12" i="3"/>
  <c r="C13" i="3"/>
  <c r="E13" i="3"/>
  <c r="F13" i="3"/>
  <c r="G13" i="3"/>
  <c r="L13" i="3"/>
  <c r="C14" i="3"/>
  <c r="E14" i="3"/>
  <c r="F14" i="3"/>
  <c r="G14" i="3"/>
  <c r="L14" i="3"/>
  <c r="C15" i="3"/>
  <c r="E15" i="3"/>
  <c r="F15" i="3"/>
  <c r="G15" i="3"/>
  <c r="L15" i="3"/>
  <c r="C16" i="3"/>
  <c r="E16" i="3"/>
  <c r="F16" i="3"/>
  <c r="G16" i="3"/>
  <c r="L16" i="3"/>
  <c r="B12" i="8"/>
  <c r="B11" i="8"/>
  <c r="B10" i="8"/>
  <c r="B8" i="8"/>
  <c r="B9" i="8"/>
  <c r="H7" i="2"/>
  <c r="E28" i="8"/>
  <c r="E26" i="8"/>
  <c r="E2" i="8"/>
  <c r="E30" i="8" l="1"/>
  <c r="F1" i="3" a="1"/>
  <c r="F1" i="3" s="1"/>
  <c r="F2" i="3" s="1"/>
  <c r="B2" i="1" a="1"/>
  <c r="B2" i="1" s="1"/>
  <c r="H17" i="4"/>
  <c r="J15" i="2" s="1"/>
  <c r="J17" i="4"/>
  <c r="I17" i="4"/>
  <c r="H19" i="2" s="1"/>
  <c r="I4" i="5"/>
  <c r="I8" i="5"/>
  <c r="E9" i="5"/>
  <c r="E3" i="5" l="1"/>
  <c r="E4" i="5"/>
  <c r="L4" i="5" s="1"/>
  <c r="L3" i="5"/>
  <c r="I3" i="5" s="1"/>
  <c r="E8" i="5" s="1"/>
  <c r="C2" i="3"/>
  <c r="C6" i="2" a="1"/>
  <c r="C6" i="2" s="1"/>
  <c r="I6" i="3" l="1"/>
  <c r="J6" i="3" s="1"/>
  <c r="K6" i="3" s="1"/>
  <c r="N6" i="3" s="1"/>
  <c r="I5" i="3"/>
  <c r="J5" i="3" s="1"/>
  <c r="K5" i="3" s="1"/>
  <c r="N5" i="3" s="1"/>
  <c r="I8" i="3"/>
  <c r="J8" i="3" s="1"/>
  <c r="K8" i="3" s="1"/>
  <c r="N8" i="3" s="1"/>
  <c r="I7" i="3"/>
  <c r="J7" i="3" s="1"/>
  <c r="K7" i="3" s="1"/>
  <c r="N7" i="3" s="1"/>
  <c r="I10" i="3"/>
  <c r="J10" i="3" s="1"/>
  <c r="K10" i="3" s="1"/>
  <c r="N10" i="3" s="1"/>
  <c r="I9" i="3"/>
  <c r="J9" i="3" s="1"/>
  <c r="K9" i="3" s="1"/>
  <c r="N9" i="3" s="1"/>
  <c r="I12" i="3"/>
  <c r="J12" i="3" s="1"/>
  <c r="K12" i="3" s="1"/>
  <c r="N12" i="3" s="1"/>
  <c r="I11" i="3"/>
  <c r="J11" i="3" s="1"/>
  <c r="K11" i="3" s="1"/>
  <c r="N11" i="3" s="1"/>
  <c r="I14" i="3"/>
  <c r="J14" i="3" s="1"/>
  <c r="K14" i="3" s="1"/>
  <c r="N14" i="3" s="1"/>
  <c r="I13" i="3"/>
  <c r="J13" i="3" s="1"/>
  <c r="K13" i="3" s="1"/>
  <c r="N13" i="3" s="1"/>
  <c r="I16" i="3"/>
  <c r="J16" i="3" s="1"/>
  <c r="K16" i="3" s="1"/>
  <c r="N16" i="3" s="1"/>
  <c r="I15" i="3"/>
  <c r="J15" i="3" s="1"/>
  <c r="K15" i="3" s="1"/>
  <c r="N15" i="3" s="1"/>
  <c r="I2" i="3" l="1"/>
  <c r="I3" i="3"/>
  <c r="I1" i="3"/>
  <c r="K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BCB370-A4C7-447F-A419-1810F0A98342}" keepAlive="1" name="Consulta - Table 1" description="Conexión a la consulta 'Table 1' en el libro." type="5" refreshedVersion="8" background="1" saveData="1">
    <dbPr connection="Provider=Microsoft.Mashup.OleDb.1;Data Source=$Workbook$;Location=&quot;Table 1&quot;;Extended Properties=&quot;&quot;" command="SELECT * FROM [Table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<sst xmlns="http://schemas.openxmlformats.org/spreadsheetml/2006/main" count="119" uniqueCount="83">
  <si>
    <t>Codigo</t>
  </si>
  <si>
    <t>DNI</t>
  </si>
  <si>
    <t>Domicilio</t>
  </si>
  <si>
    <t>Telefono</t>
  </si>
  <si>
    <t>Email</t>
  </si>
  <si>
    <t>Cod_Cli</t>
  </si>
  <si>
    <t>Clientes</t>
  </si>
  <si>
    <t>Modalidad</t>
  </si>
  <si>
    <t>Cuotas</t>
  </si>
  <si>
    <t>Importe _Cuota</t>
  </si>
  <si>
    <t>Fecha_Pago</t>
  </si>
  <si>
    <t>Estado</t>
  </si>
  <si>
    <t>Dias_Mora</t>
  </si>
  <si>
    <t>CLIENTE</t>
  </si>
  <si>
    <t>MONTO CREDITO</t>
  </si>
  <si>
    <t>NRO. CUOTAS</t>
  </si>
  <si>
    <t>TOTAL A PAGAR</t>
  </si>
  <si>
    <t>FECHA</t>
  </si>
  <si>
    <t>LIMPIAR</t>
  </si>
  <si>
    <t>Apellidos Y Nombres</t>
  </si>
  <si>
    <t>CALCULAR</t>
  </si>
  <si>
    <t>FRANCES</t>
  </si>
  <si>
    <t>ALEMAN</t>
  </si>
  <si>
    <t>CUOTA FRANCES</t>
  </si>
  <si>
    <t>CUOTA ALEMAN</t>
  </si>
  <si>
    <t>INTERES FRANCES</t>
  </si>
  <si>
    <t>INTERES</t>
  </si>
  <si>
    <t>CUOTAS</t>
  </si>
  <si>
    <t>Saldo Inicial</t>
  </si>
  <si>
    <t>Interes</t>
  </si>
  <si>
    <t>Cuota</t>
  </si>
  <si>
    <t>Amortizacion</t>
  </si>
  <si>
    <t>Saldo Restante</t>
  </si>
  <si>
    <t>ID Prestamos</t>
  </si>
  <si>
    <t>ID Prestamo</t>
  </si>
  <si>
    <t>Numero de Cuotas</t>
  </si>
  <si>
    <t>TNA</t>
  </si>
  <si>
    <t>Total a pagar</t>
  </si>
  <si>
    <t>interes</t>
  </si>
  <si>
    <t>TED</t>
  </si>
  <si>
    <t>INTERES ALEMAN</t>
  </si>
  <si>
    <t>AMORTIZACION</t>
  </si>
  <si>
    <t>Monto Pagado</t>
  </si>
  <si>
    <t>MODALIDAD</t>
  </si>
  <si>
    <t>TASA DE INTERES</t>
  </si>
  <si>
    <t>MONTO INICIAL</t>
  </si>
  <si>
    <t>Saldo Pendiente</t>
  </si>
  <si>
    <t>Saldo vencido</t>
  </si>
  <si>
    <t>Column1</t>
  </si>
  <si>
    <t>T.N.A. Fija(1)</t>
  </si>
  <si>
    <t>T.E.A.(2)</t>
  </si>
  <si>
    <t>CFT TNA(3)</t>
  </si>
  <si>
    <t>CFT TEA(4)</t>
  </si>
  <si>
    <t>Tasa fija</t>
  </si>
  <si>
    <t>PAGOS</t>
  </si>
  <si>
    <t>CLIENTES</t>
  </si>
  <si>
    <t>RESUMEN</t>
  </si>
  <si>
    <t>AMERICANO</t>
  </si>
  <si>
    <t>Fecha Vencimiento</t>
  </si>
  <si>
    <t>Fecha vencimiento</t>
  </si>
  <si>
    <t>ID CLIENTE</t>
  </si>
  <si>
    <t>NOMBRE Y APELLIDO</t>
  </si>
  <si>
    <t>DOMICILIO</t>
  </si>
  <si>
    <t>TELEFONO</t>
  </si>
  <si>
    <t>E_MAIL</t>
  </si>
  <si>
    <t>Interes_prestamo</t>
  </si>
  <si>
    <t>ID PRESTAMO</t>
  </si>
  <si>
    <t>FCT NRO:</t>
  </si>
  <si>
    <t>NRO DE CUOTA</t>
  </si>
  <si>
    <t>TOTAL CUOTA</t>
  </si>
  <si>
    <t>MORA</t>
  </si>
  <si>
    <t>INT. PRESTAMO</t>
  </si>
  <si>
    <t>TOTAL</t>
  </si>
  <si>
    <t>SUBTOTAL</t>
  </si>
  <si>
    <t>IVA 21%</t>
  </si>
  <si>
    <t>2.354,17</t>
  </si>
  <si>
    <t>926,60</t>
  </si>
  <si>
    <t>687,50</t>
  </si>
  <si>
    <t>3.280,77</t>
  </si>
  <si>
    <t>prueba</t>
  </si>
  <si>
    <t>ffffffffff</t>
  </si>
  <si>
    <t>f4567656</t>
  </si>
  <si>
    <t>prueba@gmail.com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</si>
</sst>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2C0A]\ #,##0.00"/>
    <numFmt numFmtId="165" formatCode="dd/mm/yyyy;@"/>
    <numFmt numFmtId="166" formatCode="#,##0.00\ &quot;€&quot;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2D02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4" fontId="0" fillId="0" borderId="0" xfId="0" applyNumberFormat="1" applyAlignment="1">
      <alignment horizontal="center"/>
    </xf>
    <xf numFmtId="0" fontId="0" fillId="2" borderId="0" xfId="0" applyFill="1"/>
    <xf numFmtId="14" fontId="0" fillId="2" borderId="0" xfId="0" applyNumberFormat="1" applyFill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0" fillId="3" borderId="0" xfId="0" applyNumberFormat="1" applyFill="1"/>
    <xf numFmtId="0" fontId="2" fillId="0" borderId="0" xfId="0" applyFont="1" applyAlignment="1">
      <alignment horizontal="right"/>
    </xf>
    <xf numFmtId="164" fontId="0" fillId="2" borderId="0" xfId="0" applyNumberFormat="1" applyFill="1"/>
    <xf numFmtId="164" fontId="0" fillId="5" borderId="0" xfId="0" applyNumberFormat="1" applyFill="1"/>
    <xf numFmtId="164" fontId="0" fillId="0" borderId="3" xfId="0" applyNumberFormat="1" applyBorder="1" applyAlignment="1" applyProtection="1">
      <alignment horizontal="center"/>
      <protection hidden="1"/>
    </xf>
    <xf numFmtId="164" fontId="0" fillId="0" borderId="3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9" fontId="0" fillId="0" borderId="3" xfId="1" applyFont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164" fontId="0" fillId="2" borderId="3" xfId="0" applyNumberFormat="1" applyFill="1" applyBorder="1" applyProtection="1">
      <protection hidden="1"/>
    </xf>
    <xf numFmtId="0" fontId="0" fillId="6" borderId="0" xfId="0" applyFill="1"/>
    <xf numFmtId="164" fontId="0" fillId="0" borderId="0" xfId="0" applyNumberFormat="1" applyAlignment="1" applyProtection="1">
      <alignment horizontal="center"/>
      <protection hidden="1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164" fontId="0" fillId="2" borderId="0" xfId="0" applyNumberFormat="1" applyFill="1" applyAlignment="1">
      <alignment horizontal="center"/>
    </xf>
    <xf numFmtId="0" fontId="7" fillId="0" borderId="0" xfId="0" applyFont="1"/>
    <xf numFmtId="164" fontId="7" fillId="0" borderId="0" xfId="0" applyNumberFormat="1" applyFont="1"/>
    <xf numFmtId="9" fontId="7" fillId="0" borderId="0" xfId="0" applyNumberFormat="1" applyFont="1"/>
    <xf numFmtId="14" fontId="0" fillId="0" borderId="0" xfId="0" applyNumberFormat="1"/>
    <xf numFmtId="10" fontId="0" fillId="0" borderId="0" xfId="0" applyNumberFormat="1"/>
    <xf numFmtId="0" fontId="0" fillId="7" borderId="0" xfId="0" applyFill="1"/>
    <xf numFmtId="3" fontId="0" fillId="0" borderId="0" xfId="0" applyNumberFormat="1"/>
    <xf numFmtId="0" fontId="0" fillId="8" borderId="0" xfId="0" applyFill="1" applyAlignment="1">
      <alignment horizontal="center" vertical="center"/>
    </xf>
    <xf numFmtId="166" fontId="0" fillId="0" borderId="0" xfId="0" applyNumberFormat="1"/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3" fontId="0" fillId="9" borderId="0" xfId="0" applyNumberFormat="1" applyFill="1" applyAlignment="1">
      <alignment horizontal="center"/>
    </xf>
    <xf numFmtId="14" fontId="0" fillId="9" borderId="0" xfId="0" applyNumberForma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6" fillId="9" borderId="0" xfId="0" applyFont="1" applyFill="1" applyAlignment="1">
      <alignment horizontal="left"/>
    </xf>
    <xf numFmtId="0" fontId="0" fillId="9" borderId="0" xfId="0" applyFill="1"/>
    <xf numFmtId="0" fontId="6" fillId="0" borderId="0" xfId="0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3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2C0A]\ #,##0.0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2C0A]\ #,##0.0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2C0A]\ #,##0.0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2C0A]\ #,##0.0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$-2C0A]\ #,##0.0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$-2C0A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64" formatCode="[$$-2C0A]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00"/>
      <color rgb="FF156ED9"/>
      <color rgb="FF42D0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RESUMEN!$H$4</c:f>
              <c:strCache>
                <c:ptCount val="1"/>
                <c:pt idx="0">
                  <c:v>Interes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RESUMEN!$E$5:$E$16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RESUMEN!$H$5:$H$16</c:f>
              <c:numCache>
                <c:formatCode>[$$-2C0A]\ #,##0.00</c:formatCode>
                <c:ptCount val="12"/>
                <c:pt idx="0">
                  <c:v>2000</c:v>
                </c:pt>
                <c:pt idx="1">
                  <c:v>1833.3333333333333</c:v>
                </c:pt>
                <c:pt idx="2">
                  <c:v>1666.6666666666665</c:v>
                </c:pt>
                <c:pt idx="3">
                  <c:v>1500</c:v>
                </c:pt>
                <c:pt idx="4">
                  <c:v>1333.3333333333333</c:v>
                </c:pt>
                <c:pt idx="5">
                  <c:v>1166.6666666666667</c:v>
                </c:pt>
                <c:pt idx="6">
                  <c:v>1000</c:v>
                </c:pt>
                <c:pt idx="7">
                  <c:v>833.33333333333348</c:v>
                </c:pt>
                <c:pt idx="8">
                  <c:v>666.66666666666674</c:v>
                </c:pt>
                <c:pt idx="9">
                  <c:v>500</c:v>
                </c:pt>
                <c:pt idx="10">
                  <c:v>333.33333333333331</c:v>
                </c:pt>
                <c:pt idx="11">
                  <c:v>166.66666666666663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C-434A-A5FA-25A6EC2C24E9}"/>
            </c:ext>
          </c:extLst>
        </c:ser>
        <c:ser>
          <c:idx val="1"/>
          <c:order val="1"/>
          <c:tx>
            <c:strRef>
              <c:f>RESUMEN!$I$4</c:f>
              <c:strCache>
                <c:ptCount val="1"/>
                <c:pt idx="0">
                  <c:v>Cuota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RESUMEN!$E$5:$E$16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RESUMEN!$I$5:$I$16</c:f>
              <c:numCache>
                <c:formatCode>[$$-2C0A]\ #,##0.00</c:formatCode>
                <c:ptCount val="12"/>
                <c:pt idx="0">
                  <c:v>2833.3333333333335</c:v>
                </c:pt>
                <c:pt idx="1">
                  <c:v>2666.6666666666665</c:v>
                </c:pt>
                <c:pt idx="2">
                  <c:v>2500</c:v>
                </c:pt>
                <c:pt idx="3">
                  <c:v>2333.3333333333335</c:v>
                </c:pt>
                <c:pt idx="4">
                  <c:v>2166.6666666666665</c:v>
                </c:pt>
                <c:pt idx="5">
                  <c:v>2000</c:v>
                </c:pt>
                <c:pt idx="6">
                  <c:v>1833.3333333333335</c:v>
                </c:pt>
                <c:pt idx="7">
                  <c:v>1666.666666666667</c:v>
                </c:pt>
                <c:pt idx="8">
                  <c:v>1500</c:v>
                </c:pt>
                <c:pt idx="9">
                  <c:v>1333.3333333333335</c:v>
                </c:pt>
                <c:pt idx="10">
                  <c:v>1166.6666666666667</c:v>
                </c:pt>
                <c:pt idx="1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BC-434A-A5FA-25A6EC2C24E9}"/>
            </c:ext>
          </c:extLst>
        </c:ser>
        <c:ser>
          <c:idx val="2"/>
          <c:order val="2"/>
          <c:tx>
            <c:strRef>
              <c:f>RESUMEN!$J$4</c:f>
              <c:strCache>
                <c:ptCount val="1"/>
                <c:pt idx="0">
                  <c:v>Amortizacion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RESUMEN!$E$5:$E$16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RESUMEN!$J$5:$J$16</c:f>
              <c:numCache>
                <c:formatCode>[$$-2C0A]\ #,##0.00</c:formatCode>
                <c:ptCount val="12"/>
                <c:pt idx="0">
                  <c:v>833.33333333333337</c:v>
                </c:pt>
                <c:pt idx="1">
                  <c:v>833.33333333333337</c:v>
                </c:pt>
                <c:pt idx="2">
                  <c:v>833.33333333333337</c:v>
                </c:pt>
                <c:pt idx="3">
                  <c:v>833.33333333333337</c:v>
                </c:pt>
                <c:pt idx="4">
                  <c:v>833.33333333333337</c:v>
                </c:pt>
                <c:pt idx="5">
                  <c:v>833.33333333333337</c:v>
                </c:pt>
                <c:pt idx="6">
                  <c:v>833.33333333333337</c:v>
                </c:pt>
                <c:pt idx="7">
                  <c:v>833.33333333333337</c:v>
                </c:pt>
                <c:pt idx="8">
                  <c:v>833.33333333333337</c:v>
                </c:pt>
                <c:pt idx="9">
                  <c:v>833.33333333333337</c:v>
                </c:pt>
                <c:pt idx="10">
                  <c:v>833.33333333333337</c:v>
                </c:pt>
                <c:pt idx="11">
                  <c:v>833.33333333333337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BC-434A-A5FA-25A6EC2C2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95779935"/>
        <c:axId val="995778015"/>
        <c:axId val="0"/>
      </c:bar3DChart>
      <c:catAx>
        <c:axId val="99577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95778015"/>
        <c:crosses val="autoZero"/>
        <c:auto val="1"/>
        <c:lblAlgn val="ctr"/>
        <c:lblOffset val="100"/>
        <c:noMultiLvlLbl val="0"/>
      </c:catAx>
      <c:valAx>
        <c:axId val="99577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9577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RESUMEN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CLIENTES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CALCULADORA!A1"/><Relationship Id="rId4" Type="http://schemas.openxmlformats.org/officeDocument/2006/relationships/hyperlink" Target="#ESTADOS!A1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ESUMEN!A1"/><Relationship Id="rId13" Type="http://schemas.openxmlformats.org/officeDocument/2006/relationships/hyperlink" Target="#CALCULADORA!A1"/><Relationship Id="rId18" Type="http://schemas.openxmlformats.org/officeDocument/2006/relationships/image" Target="../media/image5.png"/><Relationship Id="rId3" Type="http://schemas.openxmlformats.org/officeDocument/2006/relationships/hyperlink" Target="#'CLIENTES'!A1"/><Relationship Id="rId7" Type="http://schemas.openxmlformats.org/officeDocument/2006/relationships/image" Target="../media/image13.png"/><Relationship Id="rId12" Type="http://schemas.openxmlformats.org/officeDocument/2006/relationships/image" Target="../media/image2.svg"/><Relationship Id="rId17" Type="http://schemas.openxmlformats.org/officeDocument/2006/relationships/image" Target="../media/image4.svg"/><Relationship Id="rId2" Type="http://schemas.openxmlformats.org/officeDocument/2006/relationships/image" Target="../media/image10.png"/><Relationship Id="rId16" Type="http://schemas.openxmlformats.org/officeDocument/2006/relationships/image" Target="../media/image3.png"/><Relationship Id="rId1" Type="http://schemas.openxmlformats.org/officeDocument/2006/relationships/image" Target="../media/image9.jpeg"/><Relationship Id="rId6" Type="http://schemas.openxmlformats.org/officeDocument/2006/relationships/hyperlink" Target="#ESTADOS!A1"/><Relationship Id="rId11" Type="http://schemas.openxmlformats.org/officeDocument/2006/relationships/image" Target="../media/image1.png"/><Relationship Id="rId5" Type="http://schemas.openxmlformats.org/officeDocument/2006/relationships/image" Target="../media/image12.png"/><Relationship Id="rId15" Type="http://schemas.openxmlformats.org/officeDocument/2006/relationships/image" Target="../media/image8.svg"/><Relationship Id="rId10" Type="http://schemas.openxmlformats.org/officeDocument/2006/relationships/image" Target="../media/image15.svg"/><Relationship Id="rId19" Type="http://schemas.openxmlformats.org/officeDocument/2006/relationships/image" Target="../media/image6.svg"/><Relationship Id="rId4" Type="http://schemas.openxmlformats.org/officeDocument/2006/relationships/image" Target="../media/image11.jpeg"/><Relationship Id="rId9" Type="http://schemas.openxmlformats.org/officeDocument/2006/relationships/image" Target="../media/image14.png"/><Relationship Id="rId1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6.png"/><Relationship Id="rId3" Type="http://schemas.openxmlformats.org/officeDocument/2006/relationships/image" Target="../media/image4.svg"/><Relationship Id="rId7" Type="http://schemas.openxmlformats.org/officeDocument/2006/relationships/hyperlink" Target="#CALCULADORA!A1"/><Relationship Id="rId12" Type="http://schemas.openxmlformats.org/officeDocument/2006/relationships/image" Target="../media/image2.svg"/><Relationship Id="rId2" Type="http://schemas.openxmlformats.org/officeDocument/2006/relationships/image" Target="../media/image3.png"/><Relationship Id="rId1" Type="http://schemas.openxmlformats.org/officeDocument/2006/relationships/hyperlink" Target="#ESTADOS!A1"/><Relationship Id="rId6" Type="http://schemas.openxmlformats.org/officeDocument/2006/relationships/image" Target="../media/image6.svg"/><Relationship Id="rId11" Type="http://schemas.openxmlformats.org/officeDocument/2006/relationships/image" Target="../media/image1.png"/><Relationship Id="rId5" Type="http://schemas.openxmlformats.org/officeDocument/2006/relationships/image" Target="../media/image5.png"/><Relationship Id="rId15" Type="http://schemas.openxmlformats.org/officeDocument/2006/relationships/image" Target="../media/image18.svg"/><Relationship Id="rId10" Type="http://schemas.openxmlformats.org/officeDocument/2006/relationships/hyperlink" Target="#'CLIENTES'!A1"/><Relationship Id="rId4" Type="http://schemas.openxmlformats.org/officeDocument/2006/relationships/hyperlink" Target="#RESUMEN!A1"/><Relationship Id="rId9" Type="http://schemas.openxmlformats.org/officeDocument/2006/relationships/image" Target="../media/image8.svg"/><Relationship Id="rId14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SUMEN!A1"/><Relationship Id="rId13" Type="http://schemas.openxmlformats.org/officeDocument/2006/relationships/image" Target="../media/image4.svg"/><Relationship Id="rId3" Type="http://schemas.openxmlformats.org/officeDocument/2006/relationships/image" Target="../media/image7.png"/><Relationship Id="rId7" Type="http://schemas.openxmlformats.org/officeDocument/2006/relationships/image" Target="../media/image2.svg"/><Relationship Id="rId12" Type="http://schemas.openxmlformats.org/officeDocument/2006/relationships/image" Target="../media/image3.png"/><Relationship Id="rId2" Type="http://schemas.openxmlformats.org/officeDocument/2006/relationships/hyperlink" Target="#CALCULADORA!A1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11" Type="http://schemas.openxmlformats.org/officeDocument/2006/relationships/hyperlink" Target="#ESTADOS!A1"/><Relationship Id="rId5" Type="http://schemas.openxmlformats.org/officeDocument/2006/relationships/hyperlink" Target="#'CLIENTES'!A1"/><Relationship Id="rId10" Type="http://schemas.openxmlformats.org/officeDocument/2006/relationships/image" Target="../media/image6.svg"/><Relationship Id="rId4" Type="http://schemas.openxmlformats.org/officeDocument/2006/relationships/image" Target="../media/image8.sv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9116</xdr:colOff>
      <xdr:row>1</xdr:row>
      <xdr:rowOff>31751</xdr:rowOff>
    </xdr:from>
    <xdr:to>
      <xdr:col>1</xdr:col>
      <xdr:colOff>83071</xdr:colOff>
      <xdr:row>2</xdr:row>
      <xdr:rowOff>22680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9116" y="222251"/>
          <a:ext cx="713491" cy="231322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0</xdr:row>
          <xdr:rowOff>123825</xdr:rowOff>
        </xdr:from>
        <xdr:to>
          <xdr:col>3</xdr:col>
          <xdr:colOff>542925</xdr:colOff>
          <xdr:row>2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CLIENTE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36604</xdr:rowOff>
    </xdr:from>
    <xdr:to>
      <xdr:col>1</xdr:col>
      <xdr:colOff>92098</xdr:colOff>
      <xdr:row>1</xdr:row>
      <xdr:rowOff>235857</xdr:rowOff>
    </xdr:to>
    <xdr:grpSp>
      <xdr:nvGrpSpPr>
        <xdr:cNvPr id="29" name="Grupo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0" y="227104"/>
          <a:ext cx="1139848" cy="199253"/>
          <a:chOff x="3858509" y="571500"/>
          <a:chExt cx="713491" cy="199253"/>
        </a:xfrm>
      </xdr:grpSpPr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3995239" y="571500"/>
            <a:ext cx="576761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CLIENTES</a:t>
            </a:r>
          </a:p>
        </xdr:txBody>
      </xdr:sp>
      <xdr:pic>
        <xdr:nvPicPr>
          <xdr:cNvPr id="31" name="Gráfico 30" descr="Audiencia objetivo con relleno sólido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58509" y="590753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18098</xdr:colOff>
      <xdr:row>7</xdr:row>
      <xdr:rowOff>48397</xdr:rowOff>
    </xdr:from>
    <xdr:to>
      <xdr:col>1</xdr:col>
      <xdr:colOff>92098</xdr:colOff>
      <xdr:row>8</xdr:row>
      <xdr:rowOff>28826</xdr:rowOff>
    </xdr:to>
    <xdr:grpSp>
      <xdr:nvGrpSpPr>
        <xdr:cNvPr id="35" name="Grupo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8098" y="1461272"/>
          <a:ext cx="1121750" cy="178867"/>
          <a:chOff x="3810000" y="597102"/>
          <a:chExt cx="695393" cy="180000"/>
        </a:xfrm>
      </xdr:grpSpPr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 ESTADOS</a:t>
            </a:r>
          </a:p>
        </xdr:txBody>
      </xdr:sp>
      <xdr:pic>
        <xdr:nvPicPr>
          <xdr:cNvPr id="37" name="Gráfico 36" descr="Dinero con relleno sólid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0" y="597102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83071</xdr:colOff>
      <xdr:row>9</xdr:row>
      <xdr:rowOff>180000</xdr:rowOff>
    </xdr:to>
    <xdr:grpSp>
      <xdr:nvGrpSpPr>
        <xdr:cNvPr id="40" name="Grupo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0" y="1809750"/>
          <a:ext cx="1130821" cy="180000"/>
          <a:chOff x="3800929" y="598714"/>
          <a:chExt cx="704464" cy="180000"/>
        </a:xfrm>
      </xdr:grpSpPr>
      <xdr:sp macro="" textlink="">
        <xdr:nvSpPr>
          <xdr:cNvPr id="41" name="CuadroText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RESUMEN</a:t>
            </a:r>
          </a:p>
        </xdr:txBody>
      </xdr:sp>
      <xdr:pic>
        <xdr:nvPicPr>
          <xdr:cNvPr id="42" name="Gráfico 41" descr="Banco con relleno sólido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800929" y="598714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10</xdr:row>
      <xdr:rowOff>103192</xdr:rowOff>
    </xdr:from>
    <xdr:to>
      <xdr:col>0</xdr:col>
      <xdr:colOff>761999</xdr:colOff>
      <xdr:row>12</xdr:row>
      <xdr:rowOff>103187</xdr:rowOff>
    </xdr:to>
    <xdr:grpSp>
      <xdr:nvGrpSpPr>
        <xdr:cNvPr id="53" name="Grupo 5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" y="2111380"/>
          <a:ext cx="761998" cy="388932"/>
          <a:chOff x="5" y="682693"/>
          <a:chExt cx="828084" cy="183629"/>
        </a:xfrm>
      </xdr:grpSpPr>
      <xdr:pic>
        <xdr:nvPicPr>
          <xdr:cNvPr id="34" name="Gráfico 33" descr="Monedas con relleno sólido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" y="682693"/>
            <a:ext cx="233524" cy="183629"/>
          </a:xfrm>
          <a:prstGeom prst="rect">
            <a:avLst/>
          </a:prstGeom>
        </xdr:spPr>
      </xdr:pic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81146" y="726925"/>
            <a:ext cx="646943" cy="987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 CALCULAR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</xdr:col>
      <xdr:colOff>92098</xdr:colOff>
      <xdr:row>4</xdr:row>
      <xdr:rowOff>40822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571500"/>
          <a:ext cx="713491" cy="231322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8</xdr:col>
      <xdr:colOff>473448</xdr:colOff>
      <xdr:row>17</xdr:row>
      <xdr:rowOff>35858</xdr:rowOff>
    </xdr:from>
    <xdr:to>
      <xdr:col>10</xdr:col>
      <xdr:colOff>416298</xdr:colOff>
      <xdr:row>19</xdr:row>
      <xdr:rowOff>142315</xdr:rowOff>
    </xdr:to>
    <xdr:sp macro="" textlink="">
      <xdr:nvSpPr>
        <xdr:cNvPr id="2" name="Globo: flecha hacia arrib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55566" y="2994211"/>
          <a:ext cx="1466850" cy="397810"/>
        </a:xfrm>
        <a:prstGeom prst="upArrowCallou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/>
            <a:t>INTERES GENERADO</a:t>
          </a:r>
        </a:p>
        <a:p>
          <a:pPr algn="l"/>
          <a:endParaRPr lang="es-AR" sz="1100"/>
        </a:p>
      </xdr:txBody>
    </xdr:sp>
    <xdr:clientData/>
  </xdr:twoCellAnchor>
  <xdr:twoCellAnchor editAs="oneCell">
    <xdr:from>
      <xdr:col>6</xdr:col>
      <xdr:colOff>447347</xdr:colOff>
      <xdr:row>24</xdr:row>
      <xdr:rowOff>62068</xdr:rowOff>
    </xdr:from>
    <xdr:to>
      <xdr:col>6</xdr:col>
      <xdr:colOff>1309882</xdr:colOff>
      <xdr:row>28</xdr:row>
      <xdr:rowOff>156977</xdr:rowOff>
    </xdr:to>
    <xdr:pic macro="[0]!calcular">
      <xdr:nvPicPr>
        <xdr:cNvPr id="3" name="Imagen 2" descr="Enviar icono png | PNGEg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2965" y="4465980"/>
          <a:ext cx="862535" cy="856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11207</xdr:colOff>
      <xdr:row>24</xdr:row>
      <xdr:rowOff>131670</xdr:rowOff>
    </xdr:from>
    <xdr:to>
      <xdr:col>9</xdr:col>
      <xdr:colOff>48407</xdr:colOff>
      <xdr:row>28</xdr:row>
      <xdr:rowOff>168870</xdr:rowOff>
    </xdr:to>
    <xdr:pic>
      <xdr:nvPicPr>
        <xdr:cNvPr id="4" name="Imagen 3" descr="Limpiar - Iconos gratis de divers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3325" y="4535582"/>
          <a:ext cx="799200" cy="79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1178300</xdr:colOff>
      <xdr:row>0</xdr:row>
      <xdr:rowOff>82362</xdr:rowOff>
    </xdr:from>
    <xdr:to>
      <xdr:col>7</xdr:col>
      <xdr:colOff>597275</xdr:colOff>
      <xdr:row>3</xdr:row>
      <xdr:rowOff>100853</xdr:rowOff>
    </xdr:to>
    <xdr:pic>
      <xdr:nvPicPr>
        <xdr:cNvPr id="8" name="Imagen 7" descr="Clientes (icono De Grupo) Botón Redondo De Color Amarillo Brillante Fotos,  retratos, imágenes y fotografía de archivo libres de derecho. Image 572401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3918" y="82362"/>
          <a:ext cx="763680" cy="5899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228601</xdr:colOff>
      <xdr:row>5</xdr:row>
      <xdr:rowOff>123826</xdr:rowOff>
    </xdr:from>
    <xdr:to>
      <xdr:col>8</xdr:col>
      <xdr:colOff>619125</xdr:colOff>
      <xdr:row>8</xdr:row>
      <xdr:rowOff>19050</xdr:rowOff>
    </xdr:to>
    <xdr:pic macro="[0]!llamar_formularioclientes">
      <xdr:nvPicPr>
        <xdr:cNvPr id="12" name="Imagen 11" descr="Lupa - Iconos gratis de herramientas y utensilios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0426" y="1304926"/>
          <a:ext cx="390524" cy="390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152960</xdr:colOff>
      <xdr:row>0</xdr:row>
      <xdr:rowOff>114300</xdr:rowOff>
    </xdr:from>
    <xdr:to>
      <xdr:col>6</xdr:col>
      <xdr:colOff>229160</xdr:colOff>
      <xdr:row>3</xdr:row>
      <xdr:rowOff>78441</xdr:rowOff>
    </xdr:to>
    <xdr:pic macro="[0]!Botón4_Haga_clic_en">
      <xdr:nvPicPr>
        <xdr:cNvPr id="15" name="Imagen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6578" y="114300"/>
          <a:ext cx="838200" cy="535641"/>
        </a:xfrm>
        <a:prstGeom prst="rect">
          <a:avLst/>
        </a:prstGeom>
      </xdr:spPr>
    </xdr:pic>
    <xdr:clientData/>
  </xdr:twoCellAnchor>
  <xdr:twoCellAnchor editAs="oneCell">
    <xdr:from>
      <xdr:col>8</xdr:col>
      <xdr:colOff>123265</xdr:colOff>
      <xdr:row>0</xdr:row>
      <xdr:rowOff>56029</xdr:rowOff>
    </xdr:from>
    <xdr:to>
      <xdr:col>9</xdr:col>
      <xdr:colOff>168088</xdr:colOff>
      <xdr:row>3</xdr:row>
      <xdr:rowOff>145676</xdr:rowOff>
    </xdr:to>
    <xdr:pic>
      <xdr:nvPicPr>
        <xdr:cNvPr id="6" name="Gráfico 5" descr="Periódico con relleno sólido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05383" y="56029"/>
          <a:ext cx="806823" cy="66114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1</xdr:col>
      <xdr:colOff>92098</xdr:colOff>
      <xdr:row>2</xdr:row>
      <xdr:rowOff>8753</xdr:rowOff>
    </xdr:to>
    <xdr:grpSp>
      <xdr:nvGrpSpPr>
        <xdr:cNvPr id="11" name="Grup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0" y="190500"/>
          <a:ext cx="1131911" cy="199253"/>
          <a:chOff x="3858509" y="571500"/>
          <a:chExt cx="713491" cy="199253"/>
        </a:xfrm>
      </xdr:grpSpPr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3995239" y="571500"/>
            <a:ext cx="576761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CLIENTES</a:t>
            </a:r>
          </a:p>
        </xdr:txBody>
      </xdr:sp>
      <xdr:pic>
        <xdr:nvPicPr>
          <xdr:cNvPr id="14" name="Gráfico 13" descr="Audiencia objetivo con relleno sólido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3858509" y="590753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28548</xdr:rowOff>
    </xdr:from>
    <xdr:to>
      <xdr:col>1</xdr:col>
      <xdr:colOff>235857</xdr:colOff>
      <xdr:row>4</xdr:row>
      <xdr:rowOff>63182</xdr:rowOff>
    </xdr:to>
    <xdr:grpSp>
      <xdr:nvGrpSpPr>
        <xdr:cNvPr id="16" name="Grupo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0" y="600048"/>
          <a:ext cx="1275670" cy="225134"/>
          <a:chOff x="3878036" y="551968"/>
          <a:chExt cx="857250" cy="225134"/>
        </a:xfrm>
      </xdr:grpSpPr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3973286" y="551968"/>
            <a:ext cx="76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 CALCULAR</a:t>
            </a:r>
          </a:p>
        </xdr:txBody>
      </xdr:sp>
      <xdr:pic>
        <xdr:nvPicPr>
          <xdr:cNvPr id="18" name="Gráfico 17" descr="Monedas con relleno sólido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3878036" y="597102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5</xdr:row>
      <xdr:rowOff>66675</xdr:rowOff>
    </xdr:from>
    <xdr:to>
      <xdr:col>1</xdr:col>
      <xdr:colOff>74000</xdr:colOff>
      <xdr:row>6</xdr:row>
      <xdr:rowOff>56175</xdr:rowOff>
    </xdr:to>
    <xdr:grpSp>
      <xdr:nvGrpSpPr>
        <xdr:cNvPr id="19" name="Grup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0" y="1019175"/>
          <a:ext cx="1113813" cy="180000"/>
          <a:chOff x="3810000" y="597102"/>
          <a:chExt cx="695393" cy="180000"/>
        </a:xfrm>
      </xdr:grpSpPr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 ESTADOS</a:t>
            </a:r>
          </a:p>
        </xdr:txBody>
      </xdr:sp>
      <xdr:pic>
        <xdr:nvPicPr>
          <xdr:cNvPr id="21" name="Gráfico 20" descr="Dinero con relleno sólido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810000" y="597102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92098</xdr:colOff>
      <xdr:row>8</xdr:row>
      <xdr:rowOff>66607</xdr:rowOff>
    </xdr:to>
    <xdr:grpSp>
      <xdr:nvGrpSpPr>
        <xdr:cNvPr id="22" name="Grup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0" y="1333500"/>
          <a:ext cx="1131911" cy="177732"/>
          <a:chOff x="3800929" y="598714"/>
          <a:chExt cx="704464" cy="180000"/>
        </a:xfrm>
      </xdr:grpSpPr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RESUMEN</a:t>
            </a:r>
          </a:p>
        </xdr:txBody>
      </xdr:sp>
      <xdr:pic>
        <xdr:nvPicPr>
          <xdr:cNvPr id="24" name="Gráfico 23" descr="Banco con relleno sólido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800929" y="5987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68287</xdr:rowOff>
    </xdr:from>
    <xdr:to>
      <xdr:col>1</xdr:col>
      <xdr:colOff>92098</xdr:colOff>
      <xdr:row>39</xdr:row>
      <xdr:rowOff>109109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1020787"/>
          <a:ext cx="713491" cy="231322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0</xdr:colOff>
      <xdr:row>38</xdr:row>
      <xdr:rowOff>66675</xdr:rowOff>
    </xdr:from>
    <xdr:to>
      <xdr:col>1</xdr:col>
      <xdr:colOff>74000</xdr:colOff>
      <xdr:row>39</xdr:row>
      <xdr:rowOff>56175</xdr:rowOff>
    </xdr:to>
    <xdr:grpSp>
      <xdr:nvGrpSpPr>
        <xdr:cNvPr id="12" name="Grup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0" y="7305675"/>
          <a:ext cx="978875" cy="180000"/>
          <a:chOff x="3810000" y="597102"/>
          <a:chExt cx="695393" cy="180000"/>
        </a:xfrm>
      </xdr:grpSpPr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 ESTADOS</a:t>
            </a:r>
          </a:p>
        </xdr:txBody>
      </xdr:sp>
      <xdr:pic>
        <xdr:nvPicPr>
          <xdr:cNvPr id="14" name="Gráfico 13" descr="Dinero con relleno sólido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10000" y="597102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40</xdr:row>
      <xdr:rowOff>35832</xdr:rowOff>
    </xdr:from>
    <xdr:to>
      <xdr:col>1</xdr:col>
      <xdr:colOff>92098</xdr:colOff>
      <xdr:row>41</xdr:row>
      <xdr:rowOff>25332</xdr:rowOff>
    </xdr:to>
    <xdr:grpSp>
      <xdr:nvGrpSpPr>
        <xdr:cNvPr id="15" name="Grup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0" y="7655832"/>
          <a:ext cx="996973" cy="180000"/>
          <a:chOff x="3800929" y="598714"/>
          <a:chExt cx="704464" cy="180000"/>
        </a:xfrm>
      </xdr:grpSpPr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RESUMEN</a:t>
            </a:r>
          </a:p>
        </xdr:txBody>
      </xdr:sp>
      <xdr:pic>
        <xdr:nvPicPr>
          <xdr:cNvPr id="17" name="Gráfico 16" descr="Banco con relleno sólido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00929" y="598714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889684</xdr:colOff>
      <xdr:row>3</xdr:row>
      <xdr:rowOff>0</xdr:rowOff>
    </xdr:to>
    <xdr:grpSp>
      <xdr:nvGrpSpPr>
        <xdr:cNvPr id="26" name="Grupo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0" y="381000"/>
          <a:ext cx="889684" cy="190500"/>
          <a:chOff x="15191" y="3048001"/>
          <a:chExt cx="889684" cy="190500"/>
        </a:xfrm>
      </xdr:grpSpPr>
      <xdr:sp macro="" textlink="">
        <xdr:nvSpPr>
          <xdr:cNvPr id="27" name="CuadroTexto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 txBox="1"/>
        </xdr:nvSpPr>
        <xdr:spPr>
          <a:xfrm>
            <a:off x="191054" y="3048001"/>
            <a:ext cx="713821" cy="1904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 CALCULAR</a:t>
            </a:r>
          </a:p>
        </xdr:txBody>
      </xdr:sp>
      <xdr:pic>
        <xdr:nvPicPr>
          <xdr:cNvPr id="28" name="Gráfico 27" descr="Monedas con relleno sólido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191" y="3048001"/>
            <a:ext cx="224332" cy="1905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92098</xdr:colOff>
      <xdr:row>1</xdr:row>
      <xdr:rowOff>8753</xdr:rowOff>
    </xdr:to>
    <xdr:grpSp>
      <xdr:nvGrpSpPr>
        <xdr:cNvPr id="29" name="Grup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0" y="0"/>
          <a:ext cx="996973" cy="199253"/>
          <a:chOff x="3858509" y="571500"/>
          <a:chExt cx="713491" cy="199253"/>
        </a:xfrm>
      </xdr:grpSpPr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3995239" y="571500"/>
            <a:ext cx="576761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CLIENTES</a:t>
            </a:r>
          </a:p>
        </xdr:txBody>
      </xdr:sp>
      <xdr:pic>
        <xdr:nvPicPr>
          <xdr:cNvPr id="31" name="Gráfico 30" descr="Audiencia objetivo con relleno sólido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3858509" y="590753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198437</xdr:colOff>
      <xdr:row>17</xdr:row>
      <xdr:rowOff>63500</xdr:rowOff>
    </xdr:from>
    <xdr:to>
      <xdr:col>5</xdr:col>
      <xdr:colOff>779462</xdr:colOff>
      <xdr:row>20</xdr:row>
      <xdr:rowOff>9551</xdr:rowOff>
    </xdr:to>
    <xdr:pic>
      <xdr:nvPicPr>
        <xdr:cNvPr id="2" name="Imagen 1" descr="Pdf png imágen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08562" y="2159000"/>
          <a:ext cx="581025" cy="517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349250</xdr:colOff>
      <xdr:row>17</xdr:row>
      <xdr:rowOff>23813</xdr:rowOff>
    </xdr:from>
    <xdr:to>
      <xdr:col>6</xdr:col>
      <xdr:colOff>954087</xdr:colOff>
      <xdr:row>20</xdr:row>
      <xdr:rowOff>57150</xdr:rowOff>
    </xdr:to>
    <xdr:pic>
      <xdr:nvPicPr>
        <xdr:cNvPr id="4" name="Gráfico 3" descr="Cerrar con relleno sólid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270625" y="2119313"/>
          <a:ext cx="604837" cy="6048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119062</xdr:rowOff>
    </xdr:from>
    <xdr:to>
      <xdr:col>1</xdr:col>
      <xdr:colOff>0</xdr:colOff>
      <xdr:row>40</xdr:row>
      <xdr:rowOff>166687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4929187"/>
          <a:ext cx="817563" cy="2381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436562</xdr:colOff>
      <xdr:row>18</xdr:row>
      <xdr:rowOff>176211</xdr:rowOff>
    </xdr:from>
    <xdr:to>
      <xdr:col>9</xdr:col>
      <xdr:colOff>42861</xdr:colOff>
      <xdr:row>28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42</xdr:row>
      <xdr:rowOff>63500</xdr:rowOff>
    </xdr:from>
    <xdr:to>
      <xdr:col>1</xdr:col>
      <xdr:colOff>72121</xdr:colOff>
      <xdr:row>43</xdr:row>
      <xdr:rowOff>63500</xdr:rowOff>
    </xdr:to>
    <xdr:grpSp>
      <xdr:nvGrpSpPr>
        <xdr:cNvPr id="23" name="Grup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0" y="9779000"/>
          <a:ext cx="889684" cy="190500"/>
          <a:chOff x="15191" y="3048001"/>
          <a:chExt cx="889684" cy="190500"/>
        </a:xfrm>
      </xdr:grpSpPr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91054" y="3048001"/>
            <a:ext cx="713821" cy="1904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 CALCULAR</a:t>
            </a:r>
          </a:p>
        </xdr:txBody>
      </xdr:sp>
      <xdr:pic>
        <xdr:nvPicPr>
          <xdr:cNvPr id="25" name="Gráfico 24" descr="Monedas con relleno sólido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191" y="3048001"/>
            <a:ext cx="224332" cy="1905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43525</xdr:colOff>
      <xdr:row>0</xdr:row>
      <xdr:rowOff>185456</xdr:rowOff>
    </xdr:from>
    <xdr:to>
      <xdr:col>1</xdr:col>
      <xdr:colOff>74002</xdr:colOff>
      <xdr:row>2</xdr:row>
      <xdr:rowOff>190499</xdr:rowOff>
    </xdr:to>
    <xdr:grpSp>
      <xdr:nvGrpSpPr>
        <xdr:cNvPr id="26" name="Grup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pSpPr/>
      </xdr:nvGrpSpPr>
      <xdr:grpSpPr>
        <a:xfrm>
          <a:off x="43525" y="185456"/>
          <a:ext cx="848040" cy="386043"/>
          <a:chOff x="3858509" y="590753"/>
          <a:chExt cx="715075" cy="187328"/>
        </a:xfrm>
      </xdr:grpSpPr>
      <xdr:sp macro="" textlink="">
        <xdr:nvSpPr>
          <xdr:cNvPr id="27" name="CuadroTexto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 txBox="1"/>
        </xdr:nvSpPr>
        <xdr:spPr>
          <a:xfrm>
            <a:off x="3996823" y="614795"/>
            <a:ext cx="576761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CLIENTES</a:t>
            </a:r>
          </a:p>
        </xdr:txBody>
      </xdr:sp>
      <xdr:pic>
        <xdr:nvPicPr>
          <xdr:cNvPr id="28" name="Gráfico 27" descr="Audiencia objetivo con relleno sólido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3858509" y="590753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39</xdr:row>
      <xdr:rowOff>119062</xdr:rowOff>
    </xdr:from>
    <xdr:to>
      <xdr:col>1</xdr:col>
      <xdr:colOff>179410</xdr:colOff>
      <xdr:row>40</xdr:row>
      <xdr:rowOff>108562</xdr:rowOff>
    </xdr:to>
    <xdr:grpSp>
      <xdr:nvGrpSpPr>
        <xdr:cNvPr id="29" name="Grup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0" y="9263062"/>
          <a:ext cx="996973" cy="180000"/>
          <a:chOff x="3800929" y="598714"/>
          <a:chExt cx="704464" cy="180000"/>
        </a:xfrm>
      </xdr:grpSpPr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RESUMEN</a:t>
            </a:r>
          </a:p>
        </xdr:txBody>
      </xdr:sp>
      <xdr:pic>
        <xdr:nvPicPr>
          <xdr:cNvPr id="31" name="Gráfico 30" descr="Banco con relleno sólido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800929" y="598714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45</xdr:row>
      <xdr:rowOff>0</xdr:rowOff>
    </xdr:from>
    <xdr:to>
      <xdr:col>1</xdr:col>
      <xdr:colOff>74000</xdr:colOff>
      <xdr:row>45</xdr:row>
      <xdr:rowOff>180000</xdr:rowOff>
    </xdr:to>
    <xdr:grpSp>
      <xdr:nvGrpSpPr>
        <xdr:cNvPr id="32" name="Grup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0" y="10287000"/>
          <a:ext cx="891563" cy="180000"/>
          <a:chOff x="3810000" y="597102"/>
          <a:chExt cx="695393" cy="180000"/>
        </a:xfrm>
      </xdr:grpSpPr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3923393" y="598714"/>
            <a:ext cx="582000" cy="163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AR" sz="800"/>
              <a:t>ESTADOS</a:t>
            </a:r>
          </a:p>
        </xdr:txBody>
      </xdr:sp>
      <xdr:pic>
        <xdr:nvPicPr>
          <xdr:cNvPr id="34" name="Gráfico 33" descr="Dinero con relleno sólido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3810000" y="597102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6</xdr:col>
      <xdr:colOff>759214</xdr:colOff>
      <xdr:row>5</xdr:row>
      <xdr:rowOff>104775</xdr:rowOff>
    </xdr:to>
    <xdr:pic macro="[0]!PDF">
      <xdr:nvPicPr>
        <xdr:cNvPr id="4" name="Imagen 3" descr="Pdf png imágenes | PNGWi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381000"/>
          <a:ext cx="759214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1E55404F-58F8-41AB-95BB-D2E7CC6E15A7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T.N.A. Fija(1)" tableColumnId="2"/>
      <queryTableField id="3" name="T.E.A.(2)" tableColumnId="3"/>
      <queryTableField id="4" name="CFT TNA(3)" tableColumnId="4"/>
      <queryTableField id="5" name="CFT TEA(4)" tableColumnId="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CF1854-C7AF-4B6F-836C-9401441864DD}" name="CLIENTES" displayName="CLIENTES" ref="B4:G5" totalsRowShown="0" headerRowDxfId="38">
  <autoFilter ref="B4:G5" xr:uid="{59CF1854-C7AF-4B6F-836C-9401441864DD}"/>
  <tableColumns count="6">
    <tableColumn id="1" xr3:uid="{D191A682-CA59-48A9-9CD7-14C4E64D5B17}" name="Codigo"/>
    <tableColumn id="2" xr3:uid="{9D8A59A4-DF81-47FA-B6FD-F5F27879079F}" name="Apellidos Y Nombres"/>
    <tableColumn id="4" xr3:uid="{A919E571-EA91-4CFE-8EB5-AAA85200DDE3}" name="DNI"/>
    <tableColumn id="5" xr3:uid="{976D0614-65D9-4F1A-950B-C887148EFB02}" name="Domicilio"/>
    <tableColumn id="6" xr3:uid="{A660F1B2-5F28-4F90-88FF-C8A17E4BE982}" name="Telefono"/>
    <tableColumn id="7" xr3:uid="{624CFE95-FE7F-42FF-B44B-D963A63BAD30}" name="Emai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ADF991-5B17-4647-B899-6D65FA063EBA}" name="Tabla2" displayName="Tabla2" ref="B4:N16" totalsRowShown="0" headerRowDxfId="37" dataDxfId="36">
  <autoFilter ref="B4:N16" xr:uid="{0AADF991-5B17-4647-B899-6D65FA063EBA}"/>
  <tableColumns count="13">
    <tableColumn id="1" xr3:uid="{83F227E7-01C0-4C60-8A72-55710AEFA504}" name="Cod_Cli" dataDxfId="35"/>
    <tableColumn id="2" xr3:uid="{261D42B3-EB01-4B16-8FDE-8646444A45AC}" name="Clientes" dataDxfId="34">
      <calculatedColumnFormula>VLOOKUP(Tabla2[[#This Row],[Cod_Cli]],CLIENTES[],2,FALSE)</calculatedColumnFormula>
    </tableColumn>
    <tableColumn id="3" xr3:uid="{BE7D7879-F4D5-4132-9764-A8ECB3B13A91}" name="Modalidad" dataDxfId="33"/>
    <tableColumn id="4" xr3:uid="{29617D55-F6C9-43D0-9708-63E77151A84A}" name="Cuotas" dataDxfId="32">
      <calculatedColumnFormula>Tabla3[[#This Row],[Numero de Cuotas]]</calculatedColumnFormula>
    </tableColumn>
    <tableColumn id="5" xr3:uid="{1932B0E9-6A78-4E7F-9200-0D21E81B72EF}" name="Fecha Vencimiento" dataDxfId="31">
      <calculatedColumnFormula>Tabla3[[#This Row],[Fecha vencimiento]]</calculatedColumnFormula>
    </tableColumn>
    <tableColumn id="6" xr3:uid="{C649FB78-F760-49C7-B8F5-016FC72D1FA5}" name="Importe _Cuota" dataDxfId="30">
      <calculatedColumnFormula>Tabla3[[#This Row],[Cuota]]</calculatedColumnFormula>
    </tableColumn>
    <tableColumn id="7" xr3:uid="{2870DED4-6B7C-4984-B80F-1AE373BD822E}" name="Fecha_Pago" dataDxfId="29"/>
    <tableColumn id="8" xr3:uid="{DF8C27D9-F29D-4375-8BE1-14830015C79B}" name="Estado" dataDxfId="28">
      <calculatedColumnFormula>IF(ISNUMBER(H5),"PAGADO",IF(Tabla2[[#This Row],[Fecha Vencimiento]]&lt;$C$2,"VENCIDO","PENDIENTE"))</calculatedColumnFormula>
    </tableColumn>
    <tableColumn id="9" xr3:uid="{DD6E0783-3E0E-4DA5-A857-5BD05A252FF6}" name="Dias_Mora" dataDxfId="27">
      <calculatedColumnFormula>IF(Tabla2[[#This Row],[Estado]]="VENCIDO",$C$2-Tabla2[[#This Row],[Fecha Vencimiento]],"0")</calculatedColumnFormula>
    </tableColumn>
    <tableColumn id="10" xr3:uid="{ECB58832-86EA-45B6-928C-4AAEF2D23976}" name="interes" dataDxfId="26">
      <calculatedColumnFormula>Tabla2[[#This Row],[Importe _Cuota]]*Tabla2[[#This Row],[Dias_Mora]]*$F$2</calculatedColumnFormula>
    </tableColumn>
    <tableColumn id="13" xr3:uid="{3DA651CD-E5C8-4E48-8B38-215C8C025219}" name="Interes_prestamo" dataDxfId="25">
      <calculatedColumnFormula>Tabla3[[#This Row],[Interes]]</calculatedColumnFormula>
    </tableColumn>
    <tableColumn id="11" xr3:uid="{DEB98458-35F0-4BD9-BBFF-55F80D33DA2F}" name="ID Prestamos" dataDxfId="24"/>
    <tableColumn id="12" xr3:uid="{948BFC53-862B-4323-8784-373CAE80ABBD}" name="Total a pagar" dataDxfId="23">
      <calculatedColumnFormula>Tabla2[[#This Row],[Importe _Cuota]]+Tabla2[[#This Row],[interes]]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F9D343-7595-43FF-B38B-7CC05F2EA975}" name="Tabla3" displayName="Tabla3" ref="B4:L16" totalsRowShown="0" headerRowDxfId="22" dataDxfId="21">
  <autoFilter ref="B4:L16" xr:uid="{B5F9D343-7595-43FF-B38B-7CC05F2EA975}"/>
  <tableColumns count="11">
    <tableColumn id="1" xr3:uid="{5F4B90F5-DAEA-4360-AB93-8FCFA90BD0F6}" name="ID Prestamo" dataDxfId="20"/>
    <tableColumn id="2" xr3:uid="{49257343-4C6C-41D3-9F9E-59466A1894DB}" name="Cod_Cli" dataDxfId="19"/>
    <tableColumn id="3" xr3:uid="{5DCFA63C-B957-45FF-8A92-9F7CEA3DA8E4}" name="Clientes" dataDxfId="18">
      <calculatedColumnFormula>VLOOKUP(Tabla3[[#This Row],[Cod_Cli]],CLIENTES[],2,FALSE)</calculatedColumnFormula>
    </tableColumn>
    <tableColumn id="13" xr3:uid="{FCF67780-CAB7-4C26-9AC9-1E49F00FDB13}" name="Numero de Cuotas" dataDxfId="17"/>
    <tableColumn id="5" xr3:uid="{659FF083-E3ED-43A1-926B-C5F4848924FA}" name="Saldo Inicial" dataDxfId="16"/>
    <tableColumn id="6" xr3:uid="{9A3864BD-4A0C-4886-A6A0-60035B9BFA5C}" name="Modalidad" dataDxfId="15"/>
    <tableColumn id="7" xr3:uid="{A4050B2B-45A3-4777-B510-FCDFC9A27586}" name="Interes" dataDxfId="14"/>
    <tableColumn id="8" xr3:uid="{19AD2E7E-73C2-442D-BF56-C723EC7DBB8B}" name="Cuota" dataDxfId="13"/>
    <tableColumn id="9" xr3:uid="{8E9CF850-1827-4D9C-A10C-3CD65CD1A723}" name="Amortizacion" dataDxfId="12"/>
    <tableColumn id="10" xr3:uid="{2C182C07-4B08-4D0C-B46E-DA28A9411D64}" name="Saldo Restante" dataDxfId="11"/>
    <tableColumn id="4" xr3:uid="{E21D7DDB-B860-4251-A1CA-A472B08086E7}" name="Fecha vencimiento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4AF5ED-BE5E-41FF-B1CA-C9784FA01586}" name="Table_1" displayName="Table_1" ref="A1:E2" tableType="queryTable" totalsRowShown="0" headerRowDxfId="9" dataDxfId="8">
  <autoFilter ref="A1:E2" xr:uid="{F34AF5ED-BE5E-41FF-B1CA-C9784FA01586}"/>
  <tableColumns count="5">
    <tableColumn id="1" xr3:uid="{6C0EA599-E3BC-4A2D-BC34-55998DF2EAB9}" uniqueName="1" name="Column1" queryTableFieldId="1" dataDxfId="7"/>
    <tableColumn id="2" xr3:uid="{D6AED740-4B15-4E6B-A4BF-B0243CC427B3}" uniqueName="2" name="T.N.A. Fija(1)" queryTableFieldId="2" dataDxfId="6"/>
    <tableColumn id="3" xr3:uid="{52BE27F0-D690-4D98-8A87-CE1F3F045B05}" uniqueName="3" name="T.E.A.(2)" queryTableFieldId="3" dataDxfId="5"/>
    <tableColumn id="4" xr3:uid="{F2DF4B76-2514-427B-8D59-8870F9720FF9}" uniqueName="4" name="CFT TNA(3)" queryTableFieldId="4" dataDxfId="4"/>
    <tableColumn id="5" xr3:uid="{93F048E9-ADD7-461E-AD67-6336EE6C7578}" uniqueName="5" name="CFT TEA(4)" queryTableFieldId="5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528FD-DB4B-4F91-A4DA-A33139887064}">
  <sheetPr codeName="Hoja1"/>
  <dimension ref="A2:G11"/>
  <sheetViews>
    <sheetView showGridLines="0" zoomScale="120" zoomScaleNormal="120" workbookViewId="0">
      <pane xSplit="1" topLeftCell="B1" activePane="topRight" state="frozen"/>
      <selection pane="topRight" activeCell="A5" sqref="A5:XFD7"/>
    </sheetView>
  </sheetViews>
  <sheetFormatPr baseColWidth="10" defaultRowHeight="15" x14ac:dyDescent="0.25"/>
  <cols>
    <col min="1" max="1" width="15.7109375" style="37" customWidth="1"/>
    <col min="3" max="3" width="19.5703125" bestFit="1" customWidth="1"/>
    <col min="5" max="5" width="11.5703125" customWidth="1"/>
    <col min="7" max="7" width="19.85546875" bestFit="1" customWidth="1"/>
  </cols>
  <sheetData>
    <row r="2" spans="2:7" ht="18.75" x14ac:dyDescent="0.3">
      <c r="B2" s="5" cm="1">
        <f t="array" ref="B2">MAX(CLIENTES[Codigo]+1)</f>
        <v>2</v>
      </c>
      <c r="C2" s="13"/>
    </row>
    <row r="4" spans="2:7" ht="15.75" customHeight="1" x14ac:dyDescent="0.25">
      <c r="B4" s="1" t="s">
        <v>0</v>
      </c>
      <c r="C4" s="1" t="s">
        <v>19</v>
      </c>
      <c r="D4" s="1" t="s">
        <v>1</v>
      </c>
      <c r="E4" s="1" t="s">
        <v>2</v>
      </c>
      <c r="F4" s="1" t="s">
        <v>3</v>
      </c>
      <c r="G4" s="1" t="s">
        <v>4</v>
      </c>
    </row>
    <row r="5" spans="2:7" ht="15.75" customHeight="1" x14ac:dyDescent="0.25">
      <c r="B5" s="1">
        <v>1</v>
      </c>
      <c r="C5" s="1" t="s">
        <v>79</v>
      </c>
      <c r="D5" s="1">
        <v>222222</v>
      </c>
      <c r="E5" s="1" t="s">
        <v>80</v>
      </c>
      <c r="F5" s="1" t="s">
        <v>81</v>
      </c>
      <c r="G5" s="1" t="s">
        <v>82</v>
      </c>
    </row>
    <row r="6" spans="2:7" ht="15.75" customHeight="1" x14ac:dyDescent="0.25"/>
    <row r="7" spans="2:7" ht="15.75" customHeight="1" x14ac:dyDescent="0.25"/>
    <row r="8" spans="2:7" ht="15.75" customHeight="1" x14ac:dyDescent="0.25"/>
    <row r="9" spans="2:7" ht="15.75" customHeight="1" x14ac:dyDescent="0.25"/>
    <row r="10" spans="2:7" ht="15.75" customHeight="1" x14ac:dyDescent="0.25"/>
    <row r="11" spans="2:7" ht="15.75" customHeight="1" x14ac:dyDescent="0.25"/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otón4_REGISTRO_CLIENTES">
                <anchor moveWithCells="1">
                  <from>
                    <xdr:col>2</xdr:col>
                    <xdr:colOff>647700</xdr:colOff>
                    <xdr:row>0</xdr:row>
                    <xdr:rowOff>123825</xdr:rowOff>
                  </from>
                  <to>
                    <xdr:col>3</xdr:col>
                    <xdr:colOff>542925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2CC8-34EE-4AA2-A33A-61DD2610AB2D}">
  <sheetPr codeName="Hoja2"/>
  <dimension ref="A5:J30"/>
  <sheetViews>
    <sheetView showGridLines="0" topLeftCell="A12" zoomScale="120" zoomScaleNormal="120" workbookViewId="0">
      <pane xSplit="1" topLeftCell="B1" activePane="topRight" state="frozen"/>
      <selection pane="topRight" activeCell="J12" sqref="J12"/>
    </sheetView>
  </sheetViews>
  <sheetFormatPr baseColWidth="10" defaultRowHeight="15" x14ac:dyDescent="0.25"/>
  <cols>
    <col min="1" max="1" width="15.5703125" style="37" customWidth="1"/>
    <col min="2" max="2" width="11.42578125" style="18"/>
    <col min="3" max="3" width="11.85546875" style="18" bestFit="1" customWidth="1"/>
    <col min="4" max="6" width="11.42578125" style="18"/>
    <col min="7" max="7" width="20.140625" style="18" customWidth="1"/>
    <col min="8" max="8" width="17" style="18" customWidth="1"/>
    <col min="9" max="16384" width="11.42578125" style="18"/>
  </cols>
  <sheetData>
    <row r="5" spans="3:10" x14ac:dyDescent="0.25">
      <c r="F5" s="24" t="s">
        <v>54</v>
      </c>
      <c r="H5" s="18" t="s">
        <v>55</v>
      </c>
      <c r="I5" s="19" t="s">
        <v>56</v>
      </c>
    </row>
    <row r="6" spans="3:10" x14ac:dyDescent="0.25">
      <c r="C6" s="22" cm="1">
        <f t="array" ref="C6">MAX(Tabla2[ID Prestamos]+1)</f>
        <v>2</v>
      </c>
      <c r="H6" s="19">
        <v>1</v>
      </c>
    </row>
    <row r="7" spans="3:10" x14ac:dyDescent="0.25">
      <c r="C7" s="22"/>
      <c r="G7" s="18" t="s">
        <v>13</v>
      </c>
      <c r="H7" s="20" t="str">
        <f>VLOOKUP(H6,CLIENTES[],2,FALSE)</f>
        <v>prueba</v>
      </c>
    </row>
    <row r="8" spans="3:10" ht="9" customHeight="1" x14ac:dyDescent="0.25">
      <c r="H8" s="19"/>
    </row>
    <row r="9" spans="3:10" x14ac:dyDescent="0.25">
      <c r="G9" s="18" t="s">
        <v>14</v>
      </c>
      <c r="H9" s="17">
        <v>10000</v>
      </c>
    </row>
    <row r="10" spans="3:10" ht="9" customHeight="1" x14ac:dyDescent="0.25">
      <c r="H10" s="19"/>
    </row>
    <row r="11" spans="3:10" x14ac:dyDescent="0.25">
      <c r="G11" s="18" t="s">
        <v>43</v>
      </c>
      <c r="H11" s="20" t="s">
        <v>22</v>
      </c>
    </row>
    <row r="12" spans="3:10" ht="9" customHeight="1" x14ac:dyDescent="0.25">
      <c r="H12" s="19"/>
    </row>
    <row r="13" spans="3:10" x14ac:dyDescent="0.25">
      <c r="G13" s="18" t="s">
        <v>44</v>
      </c>
      <c r="H13" s="21">
        <v>0.2</v>
      </c>
    </row>
    <row r="14" spans="3:10" ht="9" customHeight="1" x14ac:dyDescent="0.25">
      <c r="H14" s="19"/>
      <c r="J14" s="22"/>
    </row>
    <row r="15" spans="3:10" x14ac:dyDescent="0.25">
      <c r="G15" s="18" t="s">
        <v>15</v>
      </c>
      <c r="H15" s="20">
        <v>12</v>
      </c>
      <c r="J15" s="25">
        <f>RESUMEN!H17</f>
        <v>13000</v>
      </c>
    </row>
    <row r="16" spans="3:10" ht="9" customHeight="1" x14ac:dyDescent="0.25">
      <c r="H16" s="19"/>
    </row>
    <row r="17" spans="7:9" ht="6" customHeight="1" x14ac:dyDescent="0.25">
      <c r="H17" s="27"/>
    </row>
    <row r="18" spans="7:9" ht="8.25" customHeight="1" x14ac:dyDescent="0.25">
      <c r="H18" s="19"/>
    </row>
    <row r="19" spans="7:9" x14ac:dyDescent="0.25">
      <c r="G19" s="18" t="s">
        <v>16</v>
      </c>
      <c r="H19" s="16">
        <f>RESUMEN!I17</f>
        <v>23000</v>
      </c>
    </row>
    <row r="20" spans="7:9" x14ac:dyDescent="0.25">
      <c r="H20" s="19"/>
    </row>
    <row r="21" spans="7:9" x14ac:dyDescent="0.25">
      <c r="G21" s="18" t="s">
        <v>17</v>
      </c>
      <c r="H21" s="23">
        <v>45326</v>
      </c>
    </row>
    <row r="30" spans="7:9" x14ac:dyDescent="0.25">
      <c r="G30" s="24" t="s">
        <v>20</v>
      </c>
      <c r="I30" s="19" t="s">
        <v>18</v>
      </c>
    </row>
  </sheetData>
  <dataValidations count="2">
    <dataValidation type="list" allowBlank="1" showInputMessage="1" showErrorMessage="1" sqref="H15" xr:uid="{79E0B81D-50DF-4AF8-9BA3-1D4AE31EB5F7}">
      <formula1 xml:space="preserve"> NUMCUOTAS</formula1>
    </dataValidation>
    <dataValidation type="list" allowBlank="1" showInputMessage="1" showErrorMessage="1" sqref="H11" xr:uid="{9741CB41-9584-419A-A22E-A44D66C696EE}">
      <formula1 xml:space="preserve"> MODALIDAD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A9CDC-0E96-477B-87A7-DED25A75B5F7}">
  <sheetPr codeName="Hoja3"/>
  <dimension ref="A1:N100"/>
  <sheetViews>
    <sheetView showGridLines="0" tabSelected="1" zoomScale="120" zoomScaleNormal="120" workbookViewId="0">
      <pane xSplit="1" topLeftCell="B1" activePane="topRight" state="frozen"/>
      <selection pane="topRight" activeCell="A5" sqref="A5:XFD5"/>
    </sheetView>
  </sheetViews>
  <sheetFormatPr baseColWidth="10" defaultRowHeight="15" x14ac:dyDescent="0.25"/>
  <cols>
    <col min="1" max="1" width="13.5703125" style="37" customWidth="1"/>
    <col min="2" max="2" width="12.28515625" bestFit="1" customWidth="1"/>
    <col min="3" max="3" width="12.85546875" bestFit="1" customWidth="1"/>
    <col min="4" max="4" width="15.140625" bestFit="1" customWidth="1"/>
    <col min="5" max="5" width="18.28515625" bestFit="1" customWidth="1"/>
    <col min="6" max="6" width="16.7109375" bestFit="1" customWidth="1"/>
    <col min="7" max="7" width="19.28515625" style="3" bestFit="1" customWidth="1"/>
    <col min="8" max="8" width="16" bestFit="1" customWidth="1"/>
    <col min="9" max="9" width="20.28515625" bestFit="1" customWidth="1"/>
    <col min="10" max="10" width="15" bestFit="1" customWidth="1"/>
    <col min="11" max="11" width="13.85546875" style="7" bestFit="1" customWidth="1"/>
    <col min="12" max="12" width="13.85546875" style="7" customWidth="1"/>
    <col min="13" max="13" width="15.85546875" bestFit="1" customWidth="1"/>
    <col min="14" max="14" width="11.42578125" style="3"/>
  </cols>
  <sheetData>
    <row r="1" spans="2:14" x14ac:dyDescent="0.25">
      <c r="E1" t="s">
        <v>36</v>
      </c>
      <c r="F1" s="7" cm="1">
        <f t="array" ref="F1">Table_1[T.N.A. Fija(1)]*100</f>
        <v>99</v>
      </c>
      <c r="H1" s="10" t="s">
        <v>42</v>
      </c>
      <c r="I1" s="11">
        <f ca="1">SUMIF(Tabla2[Estado],"PAGADO",Tabla2[Importe _Cuota])</f>
        <v>0</v>
      </c>
    </row>
    <row r="2" spans="2:14" x14ac:dyDescent="0.25">
      <c r="B2" s="5" t="s">
        <v>17</v>
      </c>
      <c r="C2" s="6">
        <f ca="1">TODAY()</f>
        <v>45466</v>
      </c>
      <c r="E2" t="s">
        <v>39</v>
      </c>
      <c r="F2" s="36">
        <f>(1+F1)^(1/365)-1</f>
        <v>1.2696833558434095E-2</v>
      </c>
      <c r="H2" s="9" t="s">
        <v>47</v>
      </c>
      <c r="I2" s="12">
        <f ca="1">SUMIF(Tabla2[Estado],"VENCIDO",Tabla2[Importe _Cuota])</f>
        <v>10333.333333333334</v>
      </c>
      <c r="J2" s="15" t="s">
        <v>32</v>
      </c>
      <c r="K2" s="15">
        <f ca="1">I3+I2</f>
        <v>23000</v>
      </c>
      <c r="L2" s="15"/>
    </row>
    <row r="3" spans="2:14" x14ac:dyDescent="0.25">
      <c r="F3" s="35"/>
      <c r="H3" s="5" t="s">
        <v>46</v>
      </c>
      <c r="I3" s="14">
        <f ca="1">SUMIF(Tabla2[Estado],"PENDIENTE",Tabla2[Importe _Cuota])</f>
        <v>12666.666666666668</v>
      </c>
    </row>
    <row r="4" spans="2:14" x14ac:dyDescent="0.25">
      <c r="B4" s="1" t="s">
        <v>5</v>
      </c>
      <c r="C4" s="1" t="s">
        <v>6</v>
      </c>
      <c r="D4" s="1" t="s">
        <v>7</v>
      </c>
      <c r="E4" s="1" t="s">
        <v>8</v>
      </c>
      <c r="F4" s="4" t="s">
        <v>58</v>
      </c>
      <c r="G4" s="2" t="s">
        <v>9</v>
      </c>
      <c r="H4" s="1" t="s">
        <v>10</v>
      </c>
      <c r="I4" s="1" t="s">
        <v>11</v>
      </c>
      <c r="J4" s="1" t="s">
        <v>12</v>
      </c>
      <c r="K4" s="8" t="s">
        <v>38</v>
      </c>
      <c r="L4" s="8" t="s">
        <v>65</v>
      </c>
      <c r="M4" s="1" t="s">
        <v>33</v>
      </c>
      <c r="N4" s="2" t="s">
        <v>37</v>
      </c>
    </row>
    <row r="5" spans="2:14" x14ac:dyDescent="0.25">
      <c r="B5" s="1">
        <v>1</v>
      </c>
      <c r="C5" s="1" t="str">
        <f>VLOOKUP(Tabla2[[#This Row],[Cod_Cli]],CLIENTES[],2,FALSE)</f>
        <v>prueba</v>
      </c>
      <c r="D5" s="1" t="s">
        <v>22</v>
      </c>
      <c r="E5" s="1">
        <f>Tabla3[[#This Row],[Numero de Cuotas]]</f>
        <v>1</v>
      </c>
      <c r="F5" s="4">
        <f>Tabla3[[#This Row],[Fecha vencimiento]]</f>
        <v>45355</v>
      </c>
      <c r="G5" s="2">
        <f>Tabla3[[#This Row],[Cuota]]</f>
        <v>2833.3333333333335</v>
      </c>
      <c r="H5" s="1"/>
      <c r="I5" s="1" t="str">
        <f ca="1">IF(ISNUMBER(H5),"PAGADO",IF(Tabla2[[#This Row],[Fecha Vencimiento]]&lt;$C$2,"VENCIDO","PENDIENTE"))</f>
        <v>VENCIDO</v>
      </c>
      <c r="J5" s="1">
        <f ca="1">IF(Tabla2[[#This Row],[Estado]]="VENCIDO",$C$2-Tabla2[[#This Row],[Fecha Vencimiento]],"0")</f>
        <v>111</v>
      </c>
      <c r="K5" s="8">
        <f ca="1">Tabla2[[#This Row],[Importe _Cuota]]*Tabla2[[#This Row],[Dias_Mora]]*$F$2</f>
        <v>3993.1541541275228</v>
      </c>
      <c r="L5" s="8">
        <f>Tabla3[[#This Row],[Interes]]</f>
        <v>2000</v>
      </c>
      <c r="M5" s="1">
        <v>1</v>
      </c>
      <c r="N5" s="2">
        <f ca="1">Tabla2[[#This Row],[Importe _Cuota]]+Tabla2[[#This Row],[interes]]</f>
        <v>6826.4874874608558</v>
      </c>
    </row>
    <row r="6" spans="2:14" x14ac:dyDescent="0.25">
      <c r="B6" s="1">
        <v>1</v>
      </c>
      <c r="C6" s="1" t="str">
        <f>VLOOKUP(Tabla2[[#This Row],[Cod_Cli]],CLIENTES[],2,FALSE)</f>
        <v>prueba</v>
      </c>
      <c r="D6" s="1" t="s">
        <v>22</v>
      </c>
      <c r="E6" s="1">
        <f>Tabla3[[#This Row],[Numero de Cuotas]]</f>
        <v>2</v>
      </c>
      <c r="F6" s="4">
        <f>Tabla3[[#This Row],[Fecha vencimiento]]</f>
        <v>45386</v>
      </c>
      <c r="G6" s="2">
        <f>Tabla3[[#This Row],[Cuota]]</f>
        <v>2666.6666666666665</v>
      </c>
      <c r="H6" s="1"/>
      <c r="I6" s="1" t="str">
        <f ca="1">IF(ISNUMBER(H6),"PAGADO",IF(Tabla2[[#This Row],[Fecha Vencimiento]]&lt;$C$2,"VENCIDO","PENDIENTE"))</f>
        <v>VENCIDO</v>
      </c>
      <c r="J6" s="1">
        <f ca="1">IF(Tabla2[[#This Row],[Estado]]="VENCIDO",$C$2-Tabla2[[#This Row],[Fecha Vencimiento]],"0")</f>
        <v>80</v>
      </c>
      <c r="K6" s="8">
        <f ca="1">Tabla2[[#This Row],[Importe _Cuota]]*Tabla2[[#This Row],[Dias_Mora]]*$F$2</f>
        <v>2708.6578257992733</v>
      </c>
      <c r="L6" s="8">
        <f>Tabla3[[#This Row],[Interes]]</f>
        <v>1833.3333333333333</v>
      </c>
      <c r="M6" s="1">
        <v>1</v>
      </c>
      <c r="N6" s="2">
        <f ca="1">Tabla2[[#This Row],[Importe _Cuota]]+Tabla2[[#This Row],[interes]]</f>
        <v>5375.3244924659393</v>
      </c>
    </row>
    <row r="7" spans="2:14" x14ac:dyDescent="0.25">
      <c r="B7" s="1">
        <v>1</v>
      </c>
      <c r="C7" s="1" t="str">
        <f>VLOOKUP(Tabla2[[#This Row],[Cod_Cli]],CLIENTES[],2,FALSE)</f>
        <v>prueba</v>
      </c>
      <c r="D7" s="1" t="s">
        <v>22</v>
      </c>
      <c r="E7" s="1">
        <f>Tabla3[[#This Row],[Numero de Cuotas]]</f>
        <v>3</v>
      </c>
      <c r="F7" s="4">
        <f>Tabla3[[#This Row],[Fecha vencimiento]]</f>
        <v>45416</v>
      </c>
      <c r="G7" s="2">
        <f>Tabla3[[#This Row],[Cuota]]</f>
        <v>2500</v>
      </c>
      <c r="H7" s="1"/>
      <c r="I7" s="1" t="str">
        <f ca="1">IF(ISNUMBER(H7),"PAGADO",IF(Tabla2[[#This Row],[Fecha Vencimiento]]&lt;$C$2,"VENCIDO","PENDIENTE"))</f>
        <v>VENCIDO</v>
      </c>
      <c r="J7" s="1">
        <f ca="1">IF(Tabla2[[#This Row],[Estado]]="VENCIDO",$C$2-Tabla2[[#This Row],[Fecha Vencimiento]],"0")</f>
        <v>50</v>
      </c>
      <c r="K7" s="8">
        <f ca="1">Tabla2[[#This Row],[Importe _Cuota]]*Tabla2[[#This Row],[Dias_Mora]]*$F$2</f>
        <v>1587.1041948042619</v>
      </c>
      <c r="L7" s="8">
        <f>Tabla3[[#This Row],[Interes]]</f>
        <v>1666.6666666666665</v>
      </c>
      <c r="M7" s="1">
        <v>1</v>
      </c>
      <c r="N7" s="2">
        <f ca="1">Tabla2[[#This Row],[Importe _Cuota]]+Tabla2[[#This Row],[interes]]</f>
        <v>4087.1041948042621</v>
      </c>
    </row>
    <row r="8" spans="2:14" x14ac:dyDescent="0.25">
      <c r="B8" s="1">
        <v>1</v>
      </c>
      <c r="C8" s="1" t="str">
        <f>VLOOKUP(Tabla2[[#This Row],[Cod_Cli]],CLIENTES[],2,FALSE)</f>
        <v>prueba</v>
      </c>
      <c r="D8" s="1" t="s">
        <v>22</v>
      </c>
      <c r="E8" s="1">
        <f>Tabla3[[#This Row],[Numero de Cuotas]]</f>
        <v>4</v>
      </c>
      <c r="F8" s="4">
        <f>Tabla3[[#This Row],[Fecha vencimiento]]</f>
        <v>45447</v>
      </c>
      <c r="G8" s="2">
        <f>Tabla3[[#This Row],[Cuota]]</f>
        <v>2333.3333333333335</v>
      </c>
      <c r="H8" s="1"/>
      <c r="I8" s="1" t="str">
        <f ca="1">IF(ISNUMBER(H8),"PAGADO",IF(Tabla2[[#This Row],[Fecha Vencimiento]]&lt;$C$2,"VENCIDO","PENDIENTE"))</f>
        <v>VENCIDO</v>
      </c>
      <c r="J8" s="1">
        <f ca="1">IF(Tabla2[[#This Row],[Estado]]="VENCIDO",$C$2-Tabla2[[#This Row],[Fecha Vencimiento]],"0")</f>
        <v>19</v>
      </c>
      <c r="K8" s="8">
        <f ca="1">Tabla2[[#This Row],[Importe _Cuota]]*Tabla2[[#This Row],[Dias_Mora]]*$F$2</f>
        <v>562.89295442391153</v>
      </c>
      <c r="L8" s="8">
        <f>Tabla3[[#This Row],[Interes]]</f>
        <v>1500</v>
      </c>
      <c r="M8" s="1">
        <v>1</v>
      </c>
      <c r="N8" s="2">
        <f ca="1">Tabla2[[#This Row],[Importe _Cuota]]+Tabla2[[#This Row],[interes]]</f>
        <v>2896.2262877572448</v>
      </c>
    </row>
    <row r="9" spans="2:14" x14ac:dyDescent="0.25">
      <c r="B9" s="1">
        <v>1</v>
      </c>
      <c r="C9" s="1" t="str">
        <f>VLOOKUP(Tabla2[[#This Row],[Cod_Cli]],CLIENTES[],2,FALSE)</f>
        <v>prueba</v>
      </c>
      <c r="D9" s="1" t="s">
        <v>22</v>
      </c>
      <c r="E9" s="1">
        <f>Tabla3[[#This Row],[Numero de Cuotas]]</f>
        <v>5</v>
      </c>
      <c r="F9" s="4">
        <f>Tabla3[[#This Row],[Fecha vencimiento]]</f>
        <v>45477</v>
      </c>
      <c r="G9" s="2">
        <f>Tabla3[[#This Row],[Cuota]]</f>
        <v>2166.6666666666665</v>
      </c>
      <c r="H9" s="1"/>
      <c r="I9" s="1" t="str">
        <f ca="1">IF(ISNUMBER(H9),"PAGADO",IF(Tabla2[[#This Row],[Fecha Vencimiento]]&lt;$C$2,"VENCIDO","PENDIENTE"))</f>
        <v>PENDIENTE</v>
      </c>
      <c r="J9" s="1" t="str">
        <f ca="1">IF(Tabla2[[#This Row],[Estado]]="VENCIDO",$C$2-Tabla2[[#This Row],[Fecha Vencimiento]],"0")</f>
        <v>0</v>
      </c>
      <c r="K9" s="8">
        <f ca="1">Tabla2[[#This Row],[Importe _Cuota]]*Tabla2[[#This Row],[Dias_Mora]]*$F$2</f>
        <v>0</v>
      </c>
      <c r="L9" s="8">
        <f>Tabla3[[#This Row],[Interes]]</f>
        <v>1333.3333333333333</v>
      </c>
      <c r="M9" s="1">
        <v>1</v>
      </c>
      <c r="N9" s="2">
        <f ca="1">Tabla2[[#This Row],[Importe _Cuota]]+Tabla2[[#This Row],[interes]]</f>
        <v>2166.6666666666665</v>
      </c>
    </row>
    <row r="10" spans="2:14" x14ac:dyDescent="0.25">
      <c r="B10" s="1">
        <v>1</v>
      </c>
      <c r="C10" s="1" t="str">
        <f>VLOOKUP(Tabla2[[#This Row],[Cod_Cli]],CLIENTES[],2,FALSE)</f>
        <v>prueba</v>
      </c>
      <c r="D10" s="1" t="s">
        <v>22</v>
      </c>
      <c r="E10" s="1">
        <f>Tabla3[[#This Row],[Numero de Cuotas]]</f>
        <v>6</v>
      </c>
      <c r="F10" s="4">
        <f>Tabla3[[#This Row],[Fecha vencimiento]]</f>
        <v>45508</v>
      </c>
      <c r="G10" s="2">
        <f>Tabla3[[#This Row],[Cuota]]</f>
        <v>2000</v>
      </c>
      <c r="H10" s="1"/>
      <c r="I10" s="1" t="str">
        <f ca="1">IF(ISNUMBER(H10),"PAGADO",IF(Tabla2[[#This Row],[Fecha Vencimiento]]&lt;$C$2,"VENCIDO","PENDIENTE"))</f>
        <v>PENDIENTE</v>
      </c>
      <c r="J10" s="1" t="str">
        <f ca="1">IF(Tabla2[[#This Row],[Estado]]="VENCIDO",$C$2-Tabla2[[#This Row],[Fecha Vencimiento]],"0")</f>
        <v>0</v>
      </c>
      <c r="K10" s="8">
        <f ca="1">Tabla2[[#This Row],[Importe _Cuota]]*Tabla2[[#This Row],[Dias_Mora]]*$F$2</f>
        <v>0</v>
      </c>
      <c r="L10" s="8">
        <f>Tabla3[[#This Row],[Interes]]</f>
        <v>1166.6666666666667</v>
      </c>
      <c r="M10" s="1">
        <v>1</v>
      </c>
      <c r="N10" s="2">
        <f ca="1">Tabla2[[#This Row],[Importe _Cuota]]+Tabla2[[#This Row],[interes]]</f>
        <v>2000</v>
      </c>
    </row>
    <row r="11" spans="2:14" x14ac:dyDescent="0.25">
      <c r="B11" s="1">
        <v>1</v>
      </c>
      <c r="C11" s="1" t="str">
        <f>VLOOKUP(Tabla2[[#This Row],[Cod_Cli]],CLIENTES[],2,FALSE)</f>
        <v>prueba</v>
      </c>
      <c r="D11" s="1" t="s">
        <v>22</v>
      </c>
      <c r="E11" s="1">
        <f>Tabla3[[#This Row],[Numero de Cuotas]]</f>
        <v>7</v>
      </c>
      <c r="F11" s="4">
        <f>Tabla3[[#This Row],[Fecha vencimiento]]</f>
        <v>45539</v>
      </c>
      <c r="G11" s="2">
        <f>Tabla3[[#This Row],[Cuota]]</f>
        <v>1833.3333333333335</v>
      </c>
      <c r="H11" s="1"/>
      <c r="I11" s="1" t="str">
        <f ca="1">IF(ISNUMBER(H11),"PAGADO",IF(Tabla2[[#This Row],[Fecha Vencimiento]]&lt;$C$2,"VENCIDO","PENDIENTE"))</f>
        <v>PENDIENTE</v>
      </c>
      <c r="J11" s="1" t="str">
        <f ca="1">IF(Tabla2[[#This Row],[Estado]]="VENCIDO",$C$2-Tabla2[[#This Row],[Fecha Vencimiento]],"0")</f>
        <v>0</v>
      </c>
      <c r="K11" s="8">
        <f ca="1">Tabla2[[#This Row],[Importe _Cuota]]*Tabla2[[#This Row],[Dias_Mora]]*$F$2</f>
        <v>0</v>
      </c>
      <c r="L11" s="8">
        <f>Tabla3[[#This Row],[Interes]]</f>
        <v>1000</v>
      </c>
      <c r="M11" s="1">
        <v>1</v>
      </c>
      <c r="N11" s="2">
        <f ca="1">Tabla2[[#This Row],[Importe _Cuota]]+Tabla2[[#This Row],[interes]]</f>
        <v>1833.3333333333335</v>
      </c>
    </row>
    <row r="12" spans="2:14" x14ac:dyDescent="0.25">
      <c r="B12" s="1">
        <v>1</v>
      </c>
      <c r="C12" s="1" t="str">
        <f>VLOOKUP(Tabla2[[#This Row],[Cod_Cli]],CLIENTES[],2,FALSE)</f>
        <v>prueba</v>
      </c>
      <c r="D12" s="1" t="s">
        <v>22</v>
      </c>
      <c r="E12" s="1">
        <f>Tabla3[[#This Row],[Numero de Cuotas]]</f>
        <v>8</v>
      </c>
      <c r="F12" s="4">
        <f>Tabla3[[#This Row],[Fecha vencimiento]]</f>
        <v>45569</v>
      </c>
      <c r="G12" s="2">
        <f>Tabla3[[#This Row],[Cuota]]</f>
        <v>1666.666666666667</v>
      </c>
      <c r="H12" s="1"/>
      <c r="I12" s="1" t="str">
        <f ca="1">IF(ISNUMBER(H12),"PAGADO",IF(Tabla2[[#This Row],[Fecha Vencimiento]]&lt;$C$2,"VENCIDO","PENDIENTE"))</f>
        <v>PENDIENTE</v>
      </c>
      <c r="J12" s="1" t="str">
        <f ca="1">IF(Tabla2[[#This Row],[Estado]]="VENCIDO",$C$2-Tabla2[[#This Row],[Fecha Vencimiento]],"0")</f>
        <v>0</v>
      </c>
      <c r="K12" s="8">
        <f ca="1">Tabla2[[#This Row],[Importe _Cuota]]*Tabla2[[#This Row],[Dias_Mora]]*$F$2</f>
        <v>0</v>
      </c>
      <c r="L12" s="8">
        <f>Tabla3[[#This Row],[Interes]]</f>
        <v>833.33333333333348</v>
      </c>
      <c r="M12" s="1">
        <v>1</v>
      </c>
      <c r="N12" s="2">
        <f ca="1">Tabla2[[#This Row],[Importe _Cuota]]+Tabla2[[#This Row],[interes]]</f>
        <v>1666.666666666667</v>
      </c>
    </row>
    <row r="13" spans="2:14" x14ac:dyDescent="0.25">
      <c r="B13" s="1">
        <v>1</v>
      </c>
      <c r="C13" s="1" t="str">
        <f>VLOOKUP(Tabla2[[#This Row],[Cod_Cli]],CLIENTES[],2,FALSE)</f>
        <v>prueba</v>
      </c>
      <c r="D13" s="1" t="s">
        <v>22</v>
      </c>
      <c r="E13" s="1">
        <f>Tabla3[[#This Row],[Numero de Cuotas]]</f>
        <v>9</v>
      </c>
      <c r="F13" s="4">
        <f>Tabla3[[#This Row],[Fecha vencimiento]]</f>
        <v>45600</v>
      </c>
      <c r="G13" s="2">
        <f>Tabla3[[#This Row],[Cuota]]</f>
        <v>1500</v>
      </c>
      <c r="H13" s="1"/>
      <c r="I13" s="1" t="str">
        <f ca="1">IF(ISNUMBER(H13),"PAGADO",IF(Tabla2[[#This Row],[Fecha Vencimiento]]&lt;$C$2,"VENCIDO","PENDIENTE"))</f>
        <v>PENDIENTE</v>
      </c>
      <c r="J13" s="1" t="str">
        <f ca="1">IF(Tabla2[[#This Row],[Estado]]="VENCIDO",$C$2-Tabla2[[#This Row],[Fecha Vencimiento]],"0")</f>
        <v>0</v>
      </c>
      <c r="K13" s="8">
        <f ca="1">Tabla2[[#This Row],[Importe _Cuota]]*Tabla2[[#This Row],[Dias_Mora]]*$F$2</f>
        <v>0</v>
      </c>
      <c r="L13" s="8">
        <f>Tabla3[[#This Row],[Interes]]</f>
        <v>666.66666666666674</v>
      </c>
      <c r="M13" s="1">
        <v>1</v>
      </c>
      <c r="N13" s="2">
        <f ca="1">Tabla2[[#This Row],[Importe _Cuota]]+Tabla2[[#This Row],[interes]]</f>
        <v>1500</v>
      </c>
    </row>
    <row r="14" spans="2:14" x14ac:dyDescent="0.25">
      <c r="B14" s="1">
        <v>1</v>
      </c>
      <c r="C14" s="1" t="str">
        <f>VLOOKUP(Tabla2[[#This Row],[Cod_Cli]],CLIENTES[],2,FALSE)</f>
        <v>prueba</v>
      </c>
      <c r="D14" s="1" t="s">
        <v>22</v>
      </c>
      <c r="E14" s="1">
        <f>Tabla3[[#This Row],[Numero de Cuotas]]</f>
        <v>10</v>
      </c>
      <c r="F14" s="4">
        <f>Tabla3[[#This Row],[Fecha vencimiento]]</f>
        <v>45630</v>
      </c>
      <c r="G14" s="2">
        <f>Tabla3[[#This Row],[Cuota]]</f>
        <v>1333.3333333333335</v>
      </c>
      <c r="H14" s="1"/>
      <c r="I14" s="1" t="str">
        <f ca="1">IF(ISNUMBER(H14),"PAGADO",IF(Tabla2[[#This Row],[Fecha Vencimiento]]&lt;$C$2,"VENCIDO","PENDIENTE"))</f>
        <v>PENDIENTE</v>
      </c>
      <c r="J14" s="1" t="str">
        <f ca="1">IF(Tabla2[[#This Row],[Estado]]="VENCIDO",$C$2-Tabla2[[#This Row],[Fecha Vencimiento]],"0")</f>
        <v>0</v>
      </c>
      <c r="K14" s="8">
        <f ca="1">Tabla2[[#This Row],[Importe _Cuota]]*Tabla2[[#This Row],[Dias_Mora]]*$F$2</f>
        <v>0</v>
      </c>
      <c r="L14" s="8">
        <f>Tabla3[[#This Row],[Interes]]</f>
        <v>500</v>
      </c>
      <c r="M14" s="1">
        <v>1</v>
      </c>
      <c r="N14" s="2">
        <f ca="1">Tabla2[[#This Row],[Importe _Cuota]]+Tabla2[[#This Row],[interes]]</f>
        <v>1333.3333333333335</v>
      </c>
    </row>
    <row r="15" spans="2:14" x14ac:dyDescent="0.25">
      <c r="B15" s="1">
        <v>1</v>
      </c>
      <c r="C15" s="1" t="str">
        <f>VLOOKUP(Tabla2[[#This Row],[Cod_Cli]],CLIENTES[],2,FALSE)</f>
        <v>prueba</v>
      </c>
      <c r="D15" s="1" t="s">
        <v>22</v>
      </c>
      <c r="E15" s="1">
        <f>Tabla3[[#This Row],[Numero de Cuotas]]</f>
        <v>11</v>
      </c>
      <c r="F15" s="4">
        <f>Tabla3[[#This Row],[Fecha vencimiento]]</f>
        <v>45661</v>
      </c>
      <c r="G15" s="2">
        <f>Tabla3[[#This Row],[Cuota]]</f>
        <v>1166.6666666666667</v>
      </c>
      <c r="H15" s="1"/>
      <c r="I15" s="1" t="str">
        <f ca="1">IF(ISNUMBER(H15),"PAGADO",IF(Tabla2[[#This Row],[Fecha Vencimiento]]&lt;$C$2,"VENCIDO","PENDIENTE"))</f>
        <v>PENDIENTE</v>
      </c>
      <c r="J15" s="1" t="str">
        <f ca="1">IF(Tabla2[[#This Row],[Estado]]="VENCIDO",$C$2-Tabla2[[#This Row],[Fecha Vencimiento]],"0")</f>
        <v>0</v>
      </c>
      <c r="K15" s="8">
        <f ca="1">Tabla2[[#This Row],[Importe _Cuota]]*Tabla2[[#This Row],[Dias_Mora]]*$F$2</f>
        <v>0</v>
      </c>
      <c r="L15" s="8">
        <f>Tabla3[[#This Row],[Interes]]</f>
        <v>333.33333333333331</v>
      </c>
      <c r="M15" s="1">
        <v>1</v>
      </c>
      <c r="N15" s="2">
        <f ca="1">Tabla2[[#This Row],[Importe _Cuota]]+Tabla2[[#This Row],[interes]]</f>
        <v>1166.6666666666667</v>
      </c>
    </row>
    <row r="16" spans="2:14" x14ac:dyDescent="0.25">
      <c r="B16" s="1">
        <v>1</v>
      </c>
      <c r="C16" s="1" t="str">
        <f>VLOOKUP(Tabla2[[#This Row],[Cod_Cli]],CLIENTES[],2,FALSE)</f>
        <v>prueba</v>
      </c>
      <c r="D16" s="1" t="s">
        <v>22</v>
      </c>
      <c r="E16" s="1">
        <f>Tabla3[[#This Row],[Numero de Cuotas]]</f>
        <v>12</v>
      </c>
      <c r="F16" s="4">
        <f>Tabla3[[#This Row],[Fecha vencimiento]]</f>
        <v>45692</v>
      </c>
      <c r="G16" s="2">
        <f>Tabla3[[#This Row],[Cuota]]</f>
        <v>1000</v>
      </c>
      <c r="H16" s="1"/>
      <c r="I16" s="1" t="str">
        <f ca="1">IF(ISNUMBER(H16),"PAGADO",IF(Tabla2[[#This Row],[Fecha Vencimiento]]&lt;$C$2,"VENCIDO","PENDIENTE"))</f>
        <v>PENDIENTE</v>
      </c>
      <c r="J16" s="1" t="str">
        <f ca="1">IF(Tabla2[[#This Row],[Estado]]="VENCIDO",$C$2-Tabla2[[#This Row],[Fecha Vencimiento]],"0")</f>
        <v>0</v>
      </c>
      <c r="K16" s="8">
        <f ca="1">Tabla2[[#This Row],[Importe _Cuota]]*Tabla2[[#This Row],[Dias_Mora]]*$F$2</f>
        <v>0</v>
      </c>
      <c r="L16" s="8">
        <f>Tabla3[[#This Row],[Interes]]</f>
        <v>166.66666666666663</v>
      </c>
      <c r="M16" s="1">
        <v>1</v>
      </c>
      <c r="N16" s="2">
        <f ca="1">Tabla2[[#This Row],[Importe _Cuota]]+Tabla2[[#This Row],[interes]]</f>
        <v>1000</v>
      </c>
    </row>
    <row r="18" spans="4:9" x14ac:dyDescent="0.25">
      <c r="D18" s="38"/>
      <c r="E18" s="38"/>
      <c r="I18" s="7"/>
    </row>
    <row r="19" spans="4:9" x14ac:dyDescent="0.25">
      <c r="I19" s="7"/>
    </row>
    <row r="20" spans="4:9" x14ac:dyDescent="0.25">
      <c r="I20" s="7"/>
    </row>
    <row r="52" ht="16.5" customHeight="1" x14ac:dyDescent="0.25"/>
    <row r="100" ht="16.5" customHeight="1" x14ac:dyDescent="0.25"/>
  </sheetData>
  <autoFilter ref="E1:F2" xr:uid="{69FA9CDC-0E96-477B-87A7-DED25A75B5F7}"/>
  <conditionalFormatting sqref="I5:I16">
    <cfRule type="containsText" dxfId="2" priority="4" operator="containsText" text="PAGADO">
      <formula>NOT(ISERROR(SEARCH("PAGADO",I5)))</formula>
    </cfRule>
    <cfRule type="containsText" dxfId="1" priority="5" operator="containsText" text="PENDIENTE">
      <formula>NOT(ISERROR(SEARCH("PENDIENTE",I5)))</formula>
    </cfRule>
    <cfRule type="containsText" dxfId="0" priority="6" operator="containsText" text="VENCIDO">
      <formula>NOT(ISERROR(SEARCH("VENCIDO",I5)))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5D337-72A8-467B-8867-598FB0982564}">
  <sheetPr codeName="Hoja4"/>
  <dimension ref="A4:L39"/>
  <sheetViews>
    <sheetView showGridLines="0" zoomScale="120" zoomScaleNormal="120" workbookViewId="0">
      <pane xSplit="1" topLeftCell="B1" activePane="topRight" state="frozen"/>
      <selection pane="topRight" activeCell="A5" sqref="A5:XFD5"/>
    </sheetView>
  </sheetViews>
  <sheetFormatPr baseColWidth="10" defaultRowHeight="15" x14ac:dyDescent="0.25"/>
  <cols>
    <col min="1" max="1" width="12.28515625" style="37" customWidth="1"/>
    <col min="2" max="2" width="13.5703125" style="1" bestFit="1" customWidth="1"/>
    <col min="3" max="3" width="12.28515625" style="1" bestFit="1" customWidth="1"/>
    <col min="4" max="4" width="14.140625" style="1" bestFit="1" customWidth="1"/>
    <col min="5" max="5" width="12.85546875" style="1" customWidth="1"/>
    <col min="6" max="6" width="18" style="2" bestFit="1" customWidth="1"/>
    <col min="7" max="7" width="12.85546875" style="1" bestFit="1" customWidth="1"/>
    <col min="8" max="8" width="16.85546875" style="2" bestFit="1" customWidth="1"/>
    <col min="9" max="9" width="16.140625" style="2" bestFit="1" customWidth="1"/>
    <col min="10" max="10" width="15" style="2" bestFit="1" customWidth="1"/>
    <col min="11" max="11" width="16.42578125" style="2" bestFit="1" customWidth="1"/>
  </cols>
  <sheetData>
    <row r="4" spans="2:12" ht="18.75" customHeight="1" x14ac:dyDescent="0.25">
      <c r="B4" s="1" t="s">
        <v>34</v>
      </c>
      <c r="C4" s="28" t="s">
        <v>5</v>
      </c>
      <c r="D4" s="29" t="s">
        <v>6</v>
      </c>
      <c r="E4" s="30" t="s">
        <v>35</v>
      </c>
      <c r="F4" s="2" t="s">
        <v>28</v>
      </c>
      <c r="G4" s="1" t="s">
        <v>7</v>
      </c>
      <c r="H4" s="2" t="s">
        <v>29</v>
      </c>
      <c r="I4" s="2" t="s">
        <v>30</v>
      </c>
      <c r="J4" s="2" t="s">
        <v>31</v>
      </c>
      <c r="K4" s="2" t="s">
        <v>32</v>
      </c>
      <c r="L4" s="1" t="s">
        <v>59</v>
      </c>
    </row>
    <row r="5" spans="2:12" ht="18.75" customHeight="1" x14ac:dyDescent="0.25">
      <c r="B5" s="1">
        <v>1</v>
      </c>
      <c r="C5" s="49">
        <v>1</v>
      </c>
      <c r="D5" s="49" t="str">
        <f>VLOOKUP(Tabla3[[#This Row],[Cod_Cli]],CLIENTES[],2,FALSE)</f>
        <v>prueba</v>
      </c>
      <c r="E5" s="30">
        <v>1</v>
      </c>
      <c r="F5" s="2">
        <v>10000</v>
      </c>
      <c r="G5" s="1" t="s">
        <v>22</v>
      </c>
      <c r="H5" s="2">
        <v>2000</v>
      </c>
      <c r="I5" s="2">
        <v>2833.3333333333335</v>
      </c>
      <c r="J5" s="2">
        <v>833.33333333333337</v>
      </c>
      <c r="K5" s="2">
        <v>9166.6666666666661</v>
      </c>
      <c r="L5" s="4">
        <v>45355</v>
      </c>
    </row>
    <row r="6" spans="2:12" ht="18.75" customHeight="1" x14ac:dyDescent="0.25">
      <c r="B6" s="1">
        <v>1</v>
      </c>
      <c r="C6" s="49">
        <v>1</v>
      </c>
      <c r="D6" s="49" t="str">
        <f>VLOOKUP(Tabla3[[#This Row],[Cod_Cli]],CLIENTES[],2,FALSE)</f>
        <v>prueba</v>
      </c>
      <c r="E6" s="30">
        <v>2</v>
      </c>
      <c r="F6" s="2">
        <v>9166.6666666666661</v>
      </c>
      <c r="G6" s="1" t="s">
        <v>22</v>
      </c>
      <c r="H6" s="2">
        <v>1833.3333333333333</v>
      </c>
      <c r="I6" s="2">
        <v>2666.6666666666665</v>
      </c>
      <c r="J6" s="2">
        <v>833.33333333333337</v>
      </c>
      <c r="K6" s="2">
        <v>8333.3333333333321</v>
      </c>
      <c r="L6" s="4">
        <v>45386</v>
      </c>
    </row>
    <row r="7" spans="2:12" ht="18.75" customHeight="1" x14ac:dyDescent="0.25">
      <c r="B7" s="1">
        <v>1</v>
      </c>
      <c r="C7" s="49">
        <v>1</v>
      </c>
      <c r="D7" s="49" t="str">
        <f>VLOOKUP(Tabla3[[#This Row],[Cod_Cli]],CLIENTES[],2,FALSE)</f>
        <v>prueba</v>
      </c>
      <c r="E7" s="30">
        <v>3</v>
      </c>
      <c r="F7" s="2">
        <v>8333.3333333333321</v>
      </c>
      <c r="G7" s="1" t="s">
        <v>22</v>
      </c>
      <c r="H7" s="2">
        <v>1666.6666666666665</v>
      </c>
      <c r="I7" s="2">
        <v>2500</v>
      </c>
      <c r="J7" s="2">
        <v>833.33333333333337</v>
      </c>
      <c r="K7" s="2">
        <v>7499.9999999999991</v>
      </c>
      <c r="L7" s="4">
        <v>45416</v>
      </c>
    </row>
    <row r="8" spans="2:12" ht="18.75" customHeight="1" x14ac:dyDescent="0.25">
      <c r="B8" s="1">
        <v>1</v>
      </c>
      <c r="C8" s="49">
        <v>1</v>
      </c>
      <c r="D8" s="49" t="str">
        <f>VLOOKUP(Tabla3[[#This Row],[Cod_Cli]],CLIENTES[],2,FALSE)</f>
        <v>prueba</v>
      </c>
      <c r="E8" s="30">
        <v>4</v>
      </c>
      <c r="F8" s="2">
        <v>7499.9999999999991</v>
      </c>
      <c r="G8" s="1" t="s">
        <v>22</v>
      </c>
      <c r="H8" s="2">
        <v>1500</v>
      </c>
      <c r="I8" s="2">
        <v>2333.3333333333335</v>
      </c>
      <c r="J8" s="2">
        <v>833.33333333333337</v>
      </c>
      <c r="K8" s="2">
        <v>6666.6666666666661</v>
      </c>
      <c r="L8" s="4">
        <v>45447</v>
      </c>
    </row>
    <row r="9" spans="2:12" ht="18.75" customHeight="1" x14ac:dyDescent="0.25">
      <c r="B9" s="1">
        <v>1</v>
      </c>
      <c r="C9" s="49">
        <v>1</v>
      </c>
      <c r="D9" s="49" t="str">
        <f>VLOOKUP(Tabla3[[#This Row],[Cod_Cli]],CLIENTES[],2,FALSE)</f>
        <v>prueba</v>
      </c>
      <c r="E9" s="30">
        <v>5</v>
      </c>
      <c r="F9" s="2">
        <v>6666.6666666666661</v>
      </c>
      <c r="G9" s="1" t="s">
        <v>22</v>
      </c>
      <c r="H9" s="2">
        <v>1333.3333333333333</v>
      </c>
      <c r="I9" s="2">
        <v>2166.6666666666665</v>
      </c>
      <c r="J9" s="2">
        <v>833.33333333333337</v>
      </c>
      <c r="K9" s="2">
        <v>5833.333333333333</v>
      </c>
      <c r="L9" s="4">
        <v>45477</v>
      </c>
    </row>
    <row r="10" spans="2:12" ht="18.75" customHeight="1" x14ac:dyDescent="0.25">
      <c r="B10" s="1">
        <v>1</v>
      </c>
      <c r="C10" s="49">
        <v>1</v>
      </c>
      <c r="D10" s="49" t="str">
        <f>VLOOKUP(Tabla3[[#This Row],[Cod_Cli]],CLIENTES[],2,FALSE)</f>
        <v>prueba</v>
      </c>
      <c r="E10" s="30">
        <v>6</v>
      </c>
      <c r="F10" s="2">
        <v>5833.333333333333</v>
      </c>
      <c r="G10" s="1" t="s">
        <v>22</v>
      </c>
      <c r="H10" s="2">
        <v>1166.6666666666667</v>
      </c>
      <c r="I10" s="2">
        <v>2000</v>
      </c>
      <c r="J10" s="2">
        <v>833.33333333333337</v>
      </c>
      <c r="K10" s="2">
        <v>5000</v>
      </c>
      <c r="L10" s="4">
        <v>45508</v>
      </c>
    </row>
    <row r="11" spans="2:12" ht="18.75" customHeight="1" x14ac:dyDescent="0.25">
      <c r="B11" s="1">
        <v>1</v>
      </c>
      <c r="C11" s="49">
        <v>1</v>
      </c>
      <c r="D11" s="49" t="str">
        <f>VLOOKUP(Tabla3[[#This Row],[Cod_Cli]],CLIENTES[],2,FALSE)</f>
        <v>prueba</v>
      </c>
      <c r="E11" s="30">
        <v>7</v>
      </c>
      <c r="F11" s="2">
        <v>5000</v>
      </c>
      <c r="G11" s="1" t="s">
        <v>22</v>
      </c>
      <c r="H11" s="2">
        <v>1000</v>
      </c>
      <c r="I11" s="2">
        <v>1833.3333333333335</v>
      </c>
      <c r="J11" s="2">
        <v>833.33333333333337</v>
      </c>
      <c r="K11" s="2">
        <v>4166.666666666667</v>
      </c>
      <c r="L11" s="4">
        <v>45539</v>
      </c>
    </row>
    <row r="12" spans="2:12" ht="18.75" customHeight="1" x14ac:dyDescent="0.25">
      <c r="B12" s="1">
        <v>1</v>
      </c>
      <c r="C12" s="49">
        <v>1</v>
      </c>
      <c r="D12" s="49" t="str">
        <f>VLOOKUP(Tabla3[[#This Row],[Cod_Cli]],CLIENTES[],2,FALSE)</f>
        <v>prueba</v>
      </c>
      <c r="E12" s="30">
        <v>8</v>
      </c>
      <c r="F12" s="2">
        <v>4166.666666666667</v>
      </c>
      <c r="G12" s="1" t="s">
        <v>22</v>
      </c>
      <c r="H12" s="2">
        <v>833.33333333333348</v>
      </c>
      <c r="I12" s="2">
        <v>1666.666666666667</v>
      </c>
      <c r="J12" s="2">
        <v>833.33333333333337</v>
      </c>
      <c r="K12" s="2">
        <v>3333.3333333333335</v>
      </c>
      <c r="L12" s="4">
        <v>45569</v>
      </c>
    </row>
    <row r="13" spans="2:12" ht="18.75" customHeight="1" x14ac:dyDescent="0.25">
      <c r="B13" s="1">
        <v>1</v>
      </c>
      <c r="C13" s="49">
        <v>1</v>
      </c>
      <c r="D13" s="49" t="str">
        <f>VLOOKUP(Tabla3[[#This Row],[Cod_Cli]],CLIENTES[],2,FALSE)</f>
        <v>prueba</v>
      </c>
      <c r="E13" s="30">
        <v>9</v>
      </c>
      <c r="F13" s="2">
        <v>3333.3333333333335</v>
      </c>
      <c r="G13" s="1" t="s">
        <v>22</v>
      </c>
      <c r="H13" s="2">
        <v>666.66666666666674</v>
      </c>
      <c r="I13" s="2">
        <v>1500</v>
      </c>
      <c r="J13" s="2">
        <v>833.33333333333337</v>
      </c>
      <c r="K13" s="2">
        <v>2500</v>
      </c>
      <c r="L13" s="4">
        <v>45600</v>
      </c>
    </row>
    <row r="14" spans="2:12" ht="18.75" customHeight="1" x14ac:dyDescent="0.25">
      <c r="B14" s="1">
        <v>1</v>
      </c>
      <c r="C14" s="49">
        <v>1</v>
      </c>
      <c r="D14" s="49" t="str">
        <f>VLOOKUP(Tabla3[[#This Row],[Cod_Cli]],CLIENTES[],2,FALSE)</f>
        <v>prueba</v>
      </c>
      <c r="E14" s="30">
        <v>10</v>
      </c>
      <c r="F14" s="2">
        <v>2500</v>
      </c>
      <c r="G14" s="1" t="s">
        <v>22</v>
      </c>
      <c r="H14" s="2">
        <v>500</v>
      </c>
      <c r="I14" s="2">
        <v>1333.3333333333335</v>
      </c>
      <c r="J14" s="2">
        <v>833.33333333333337</v>
      </c>
      <c r="K14" s="2">
        <v>1666.6666666666665</v>
      </c>
      <c r="L14" s="4">
        <v>45630</v>
      </c>
    </row>
    <row r="15" spans="2:12" ht="18.75" customHeight="1" x14ac:dyDescent="0.25">
      <c r="B15" s="1">
        <v>1</v>
      </c>
      <c r="C15" s="49">
        <v>1</v>
      </c>
      <c r="D15" s="49" t="str">
        <f>VLOOKUP(Tabla3[[#This Row],[Cod_Cli]],CLIENTES[],2,FALSE)</f>
        <v>prueba</v>
      </c>
      <c r="E15" s="30">
        <v>11</v>
      </c>
      <c r="F15" s="2">
        <v>1666.6666666666665</v>
      </c>
      <c r="G15" s="1" t="s">
        <v>22</v>
      </c>
      <c r="H15" s="2">
        <v>333.33333333333331</v>
      </c>
      <c r="I15" s="2">
        <v>1166.6666666666667</v>
      </c>
      <c r="J15" s="2">
        <v>833.33333333333337</v>
      </c>
      <c r="K15" s="2">
        <v>833.33333333333314</v>
      </c>
      <c r="L15" s="4">
        <v>45661</v>
      </c>
    </row>
    <row r="16" spans="2:12" ht="18.75" customHeight="1" x14ac:dyDescent="0.25">
      <c r="B16" s="1">
        <v>1</v>
      </c>
      <c r="C16" s="49">
        <v>1</v>
      </c>
      <c r="D16" s="49" t="str">
        <f>VLOOKUP(Tabla3[[#This Row],[Cod_Cli]],CLIENTES[],2,FALSE)</f>
        <v>prueba</v>
      </c>
      <c r="E16" s="30">
        <v>12</v>
      </c>
      <c r="F16" s="2">
        <v>833.33333333333314</v>
      </c>
      <c r="G16" s="1" t="s">
        <v>22</v>
      </c>
      <c r="H16" s="2">
        <v>166.66666666666663</v>
      </c>
      <c r="I16" s="2">
        <v>1000</v>
      </c>
      <c r="J16" s="2">
        <v>833.33333333333337</v>
      </c>
      <c r="K16" s="2">
        <v>-2.2737367544323206E-13</v>
      </c>
      <c r="L16" s="4">
        <v>45692</v>
      </c>
    </row>
    <row r="17" spans="8:10" ht="18.75" customHeight="1" x14ac:dyDescent="0.25">
      <c r="H17" s="31">
        <f>SUMIF(Tabla3[Interes],"&gt;0",Tabla3[Interes])</f>
        <v>13000</v>
      </c>
      <c r="I17" s="31">
        <f>SUMIF(Tabla3[Cuota],"&gt;0",Tabla3[Cuota])</f>
        <v>23000</v>
      </c>
      <c r="J17" s="31">
        <f>SUMIF(Tabla3[Amortizacion],"&gt;0",Tabla3[Amortizacion])</f>
        <v>10000</v>
      </c>
    </row>
    <row r="18" spans="8:10" ht="18.75" customHeight="1" x14ac:dyDescent="0.25"/>
    <row r="19" spans="8:10" ht="18.75" customHeight="1" x14ac:dyDescent="0.25"/>
    <row r="20" spans="8:10" ht="18.75" customHeight="1" x14ac:dyDescent="0.25"/>
    <row r="21" spans="8:10" ht="18.75" customHeight="1" x14ac:dyDescent="0.25"/>
    <row r="22" spans="8:10" ht="18.75" customHeight="1" x14ac:dyDescent="0.25"/>
    <row r="23" spans="8:10" ht="18.75" customHeight="1" x14ac:dyDescent="0.25"/>
    <row r="24" spans="8:10" ht="18.75" customHeight="1" x14ac:dyDescent="0.25"/>
    <row r="25" spans="8:10" ht="18.75" customHeight="1" x14ac:dyDescent="0.25"/>
    <row r="26" spans="8:10" ht="18.75" customHeight="1" x14ac:dyDescent="0.25"/>
    <row r="27" spans="8:10" ht="18.75" customHeight="1" x14ac:dyDescent="0.25"/>
    <row r="28" spans="8:10" ht="18.75" customHeight="1" x14ac:dyDescent="0.25"/>
    <row r="29" spans="8:10" ht="18.75" customHeight="1" x14ac:dyDescent="0.25"/>
    <row r="30" spans="8:10" ht="18.75" customHeight="1" x14ac:dyDescent="0.25"/>
    <row r="31" spans="8:10" ht="18.75" customHeight="1" x14ac:dyDescent="0.25"/>
    <row r="32" spans="8:10" ht="18.75" customHeight="1" x14ac:dyDescent="0.25"/>
    <row r="33" ht="18.75" customHeight="1" x14ac:dyDescent="0.25"/>
    <row r="34" ht="18.75" customHeight="1" x14ac:dyDescent="0.25"/>
    <row r="35" ht="18.75" customHeight="1" x14ac:dyDescent="0.25"/>
    <row r="36" ht="18.75" customHeight="1" x14ac:dyDescent="0.25"/>
    <row r="37" ht="18.75" customHeight="1" x14ac:dyDescent="0.25"/>
    <row r="38" ht="18.75" customHeight="1" x14ac:dyDescent="0.25"/>
    <row r="39" ht="18.75" customHeight="1" x14ac:dyDescent="0.25"/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DB381-C983-4DD6-9196-F0D7F710A64B}">
  <sheetPr codeName="Hoja7"/>
  <dimension ref="A1:H48"/>
  <sheetViews>
    <sheetView workbookViewId="0">
      <selection activeCell="H10" sqref="H10"/>
    </sheetView>
  </sheetViews>
  <sheetFormatPr baseColWidth="10" defaultRowHeight="15" x14ac:dyDescent="0.25"/>
  <cols>
    <col min="1" max="1" width="19.28515625" style="1" bestFit="1" customWidth="1"/>
    <col min="2" max="2" width="20.140625" style="1" customWidth="1"/>
    <col min="3" max="3" width="20.5703125" style="1" customWidth="1"/>
    <col min="4" max="4" width="15.5703125" style="1" customWidth="1"/>
    <col min="5" max="5" width="22.5703125" style="1" bestFit="1" customWidth="1"/>
    <col min="6" max="6" width="15.140625" style="1" customWidth="1"/>
    <col min="7" max="7" width="12" style="1" bestFit="1" customWidth="1"/>
    <col min="8" max="8" width="18.85546875" bestFit="1" customWidth="1"/>
  </cols>
  <sheetData>
    <row r="1" spans="1:7" x14ac:dyDescent="0.25">
      <c r="A1" s="43"/>
      <c r="B1" s="43"/>
      <c r="C1" s="43"/>
      <c r="D1" s="43"/>
      <c r="E1" s="43"/>
    </row>
    <row r="2" spans="1:7" x14ac:dyDescent="0.25">
      <c r="A2" s="43"/>
      <c r="B2" s="43"/>
      <c r="C2" s="43"/>
      <c r="D2" s="43" t="s">
        <v>67</v>
      </c>
      <c r="E2" s="43" t="str">
        <f>_xlfn.CONCAT("000",B6," - ",B7)</f>
        <v>0001 - 1</v>
      </c>
    </row>
    <row r="3" spans="1:7" x14ac:dyDescent="0.25">
      <c r="A3" s="43"/>
      <c r="B3" s="43"/>
      <c r="C3" s="43"/>
      <c r="D3" s="43"/>
      <c r="E3" s="43"/>
    </row>
    <row r="4" spans="1:7" x14ac:dyDescent="0.25">
      <c r="A4" s="43"/>
      <c r="B4" s="43"/>
      <c r="C4" s="43"/>
      <c r="D4" s="43" t="s">
        <v>17</v>
      </c>
      <c r="E4" s="45">
        <v>45417</v>
      </c>
      <c r="G4" s="4"/>
    </row>
    <row r="5" spans="1:7" x14ac:dyDescent="0.25">
      <c r="A5" s="43"/>
      <c r="B5" s="43"/>
      <c r="C5" s="43"/>
      <c r="D5" s="43"/>
      <c r="E5" s="43"/>
    </row>
    <row r="6" spans="1:7" x14ac:dyDescent="0.25">
      <c r="A6" s="43" t="s">
        <v>60</v>
      </c>
      <c r="B6" s="46">
        <v>1</v>
      </c>
      <c r="C6" s="43"/>
      <c r="D6" s="43"/>
      <c r="E6" s="43"/>
    </row>
    <row r="7" spans="1:7" x14ac:dyDescent="0.25">
      <c r="A7" s="43" t="s">
        <v>66</v>
      </c>
      <c r="B7" s="46">
        <v>1</v>
      </c>
      <c r="C7" s="43"/>
      <c r="D7" s="43"/>
      <c r="E7" s="43"/>
    </row>
    <row r="8" spans="1:7" x14ac:dyDescent="0.25">
      <c r="A8" s="43" t="s">
        <v>61</v>
      </c>
      <c r="B8" s="46" t="str">
        <f>VLOOKUP(B6,CLIENTES[],2,FALSE)</f>
        <v>prueba</v>
      </c>
      <c r="C8" s="43"/>
      <c r="D8" s="43"/>
      <c r="E8" s="43"/>
    </row>
    <row r="9" spans="1:7" x14ac:dyDescent="0.25">
      <c r="A9" s="43" t="s">
        <v>1</v>
      </c>
      <c r="B9" s="46">
        <f>VLOOKUP(B6,CLIENTES[],3,FALSE)</f>
        <v>222222</v>
      </c>
      <c r="C9" s="43"/>
      <c r="D9" s="43"/>
      <c r="E9" s="43"/>
    </row>
    <row r="10" spans="1:7" x14ac:dyDescent="0.25">
      <c r="A10" s="43" t="s">
        <v>62</v>
      </c>
      <c r="B10" s="46" t="str">
        <f>VLOOKUP(B6,CLIENTES[],4,FALSE)</f>
        <v>ffffffffff</v>
      </c>
      <c r="C10" s="43"/>
      <c r="D10" s="43"/>
      <c r="E10" s="43"/>
    </row>
    <row r="11" spans="1:7" x14ac:dyDescent="0.25">
      <c r="A11" s="43" t="s">
        <v>63</v>
      </c>
      <c r="B11" s="46" t="str">
        <f>VLOOKUP(B6,CLIENTES[],5,FALSE)</f>
        <v>f4567656</v>
      </c>
      <c r="C11" s="43"/>
      <c r="D11" s="43"/>
      <c r="E11" s="43"/>
    </row>
    <row r="12" spans="1:7" x14ac:dyDescent="0.25">
      <c r="A12" s="43" t="s">
        <v>64</v>
      </c>
      <c r="B12" s="47" t="str">
        <f>VLOOKUP(B6,CLIENTES[],6,FALSE)</f>
        <v>prueba@gmail.com</v>
      </c>
      <c r="C12" s="43"/>
      <c r="D12" s="43"/>
      <c r="E12" s="43"/>
    </row>
    <row r="13" spans="1:7" x14ac:dyDescent="0.25">
      <c r="A13" s="43"/>
      <c r="B13" s="43"/>
      <c r="C13" s="43"/>
      <c r="D13" s="43"/>
      <c r="E13" s="43"/>
    </row>
    <row r="14" spans="1:7" x14ac:dyDescent="0.25">
      <c r="A14" s="43"/>
      <c r="B14" s="43"/>
      <c r="C14" s="43"/>
      <c r="D14" s="43"/>
      <c r="E14" s="43"/>
    </row>
    <row r="15" spans="1:7" x14ac:dyDescent="0.25">
      <c r="A15" s="43"/>
      <c r="B15" s="43"/>
      <c r="C15" s="43"/>
      <c r="D15" s="43"/>
      <c r="E15" s="43"/>
    </row>
    <row r="16" spans="1:7" x14ac:dyDescent="0.25">
      <c r="A16" s="43"/>
      <c r="B16" s="43"/>
      <c r="C16" s="43"/>
      <c r="D16" s="43"/>
      <c r="E16" s="43"/>
    </row>
    <row r="17" spans="1:8" ht="33" customHeight="1" x14ac:dyDescent="0.25">
      <c r="A17" s="39" t="s">
        <v>68</v>
      </c>
      <c r="B17" s="39" t="s">
        <v>69</v>
      </c>
      <c r="C17" s="39" t="s">
        <v>70</v>
      </c>
      <c r="D17" s="39" t="s">
        <v>71</v>
      </c>
      <c r="E17" s="39" t="s">
        <v>72</v>
      </c>
      <c r="H17" s="3"/>
    </row>
    <row r="18" spans="1:8" x14ac:dyDescent="0.25">
      <c r="A18" s="43"/>
      <c r="B18" s="43"/>
      <c r="C18" s="43"/>
      <c r="D18" s="43"/>
      <c r="E18" s="43"/>
    </row>
    <row r="19" spans="1:8" ht="31.5" customHeight="1" x14ac:dyDescent="0.25">
      <c r="A19" s="43">
        <v>2</v>
      </c>
      <c r="B19" s="44" t="s">
        <v>75</v>
      </c>
      <c r="C19" s="43" t="s">
        <v>76</v>
      </c>
      <c r="D19" s="43" t="s">
        <v>77</v>
      </c>
      <c r="E19" s="43" t="s">
        <v>78</v>
      </c>
    </row>
    <row r="20" spans="1:8" x14ac:dyDescent="0.25">
      <c r="A20" s="43"/>
      <c r="B20" s="43"/>
      <c r="C20" s="43"/>
      <c r="D20" s="43"/>
      <c r="E20" s="43"/>
    </row>
    <row r="21" spans="1:8" x14ac:dyDescent="0.25">
      <c r="A21" s="43"/>
      <c r="B21" s="44"/>
      <c r="C21" s="43"/>
      <c r="D21" s="43"/>
      <c r="E21" s="43"/>
    </row>
    <row r="22" spans="1:8" x14ac:dyDescent="0.25">
      <c r="A22" s="43"/>
      <c r="B22" s="43"/>
      <c r="C22" s="43"/>
      <c r="D22" s="43"/>
      <c r="E22" s="43"/>
    </row>
    <row r="23" spans="1:8" x14ac:dyDescent="0.25">
      <c r="A23" s="43"/>
      <c r="B23" s="43"/>
      <c r="C23" s="43"/>
      <c r="D23" s="43"/>
      <c r="E23" s="43"/>
      <c r="H23" s="3"/>
    </row>
    <row r="24" spans="1:8" x14ac:dyDescent="0.25">
      <c r="A24" s="43"/>
      <c r="B24" s="43"/>
      <c r="C24" s="43"/>
      <c r="D24" s="43"/>
      <c r="E24" s="43"/>
      <c r="H24" s="40"/>
    </row>
    <row r="25" spans="1:8" x14ac:dyDescent="0.25">
      <c r="A25" s="43"/>
      <c r="B25" s="43"/>
      <c r="C25" s="43"/>
      <c r="D25" s="43"/>
      <c r="E25" s="43"/>
    </row>
    <row r="26" spans="1:8" x14ac:dyDescent="0.25">
      <c r="A26" s="43"/>
      <c r="B26" s="43"/>
      <c r="C26" s="43"/>
      <c r="D26" s="41" t="s">
        <v>73</v>
      </c>
      <c r="E26" s="42" t="str">
        <f>E19</f>
        <v>3.280,77</v>
      </c>
    </row>
    <row r="27" spans="1:8" x14ac:dyDescent="0.25">
      <c r="A27" s="43"/>
      <c r="B27" s="43"/>
      <c r="C27" s="43"/>
      <c r="D27" s="41"/>
      <c r="E27" s="42"/>
    </row>
    <row r="28" spans="1:8" x14ac:dyDescent="0.25">
      <c r="A28" s="43"/>
      <c r="B28" s="43"/>
      <c r="C28" s="43"/>
      <c r="D28" s="41" t="s">
        <v>74</v>
      </c>
      <c r="E28" s="42">
        <f>0.21*(C19+D19)</f>
        <v>338.96099999999996</v>
      </c>
    </row>
    <row r="29" spans="1:8" x14ac:dyDescent="0.25">
      <c r="A29" s="43"/>
      <c r="B29" s="43"/>
      <c r="C29" s="43"/>
      <c r="D29" s="41"/>
      <c r="E29" s="42"/>
    </row>
    <row r="30" spans="1:8" x14ac:dyDescent="0.25">
      <c r="A30" s="43"/>
      <c r="B30" s="43"/>
      <c r="C30" s="43"/>
      <c r="D30" s="41" t="s">
        <v>72</v>
      </c>
      <c r="E30" s="42">
        <f>E26+E28</f>
        <v>3619.7309999999998</v>
      </c>
    </row>
    <row r="31" spans="1:8" x14ac:dyDescent="0.25">
      <c r="A31" s="43"/>
      <c r="B31" s="43"/>
      <c r="C31" s="43"/>
      <c r="D31" s="43"/>
      <c r="E31" s="43"/>
    </row>
    <row r="32" spans="1:8" x14ac:dyDescent="0.25">
      <c r="A32" s="43"/>
      <c r="B32" s="43"/>
      <c r="C32" s="43"/>
      <c r="D32" s="43"/>
      <c r="E32" s="43"/>
    </row>
    <row r="33" spans="1:5" x14ac:dyDescent="0.25">
      <c r="A33" s="43"/>
      <c r="B33" s="43"/>
      <c r="C33" s="43"/>
      <c r="D33" s="43"/>
      <c r="E33" s="43"/>
    </row>
    <row r="34" spans="1:5" x14ac:dyDescent="0.25">
      <c r="A34" s="43"/>
      <c r="B34" s="43"/>
      <c r="C34" s="48"/>
      <c r="D34" s="43"/>
      <c r="E34" s="43"/>
    </row>
    <row r="35" spans="1:5" x14ac:dyDescent="0.25">
      <c r="A35" s="43"/>
      <c r="B35" s="43"/>
      <c r="C35" s="43"/>
      <c r="D35" s="43"/>
      <c r="E35" s="43"/>
    </row>
    <row r="36" spans="1:5" x14ac:dyDescent="0.25">
      <c r="A36" s="43"/>
      <c r="B36" s="43"/>
      <c r="C36" s="43"/>
      <c r="D36" s="43"/>
      <c r="E36" s="43"/>
    </row>
    <row r="37" spans="1:5" x14ac:dyDescent="0.25">
      <c r="A37" s="43"/>
      <c r="B37" s="43"/>
      <c r="C37" s="43"/>
      <c r="D37" s="43"/>
      <c r="E37" s="43"/>
    </row>
    <row r="38" spans="1:5" x14ac:dyDescent="0.25">
      <c r="A38" s="43"/>
      <c r="B38" s="43"/>
      <c r="C38" s="43"/>
      <c r="D38" s="43"/>
      <c r="E38" s="43"/>
    </row>
    <row r="39" spans="1:5" x14ac:dyDescent="0.25">
      <c r="A39" s="43"/>
      <c r="B39" s="43"/>
      <c r="C39" s="43"/>
      <c r="D39" s="43"/>
      <c r="E39" s="43"/>
    </row>
    <row r="40" spans="1:5" x14ac:dyDescent="0.25">
      <c r="A40" s="43"/>
      <c r="B40" s="43"/>
      <c r="C40" s="43"/>
      <c r="D40" s="43"/>
      <c r="E40" s="43"/>
    </row>
    <row r="41" spans="1:5" x14ac:dyDescent="0.25">
      <c r="A41" s="43"/>
      <c r="B41" s="43"/>
      <c r="C41" s="43"/>
      <c r="D41" s="43"/>
      <c r="E41" s="43"/>
    </row>
    <row r="42" spans="1:5" x14ac:dyDescent="0.25">
      <c r="A42" s="43"/>
      <c r="B42" s="43"/>
      <c r="C42" s="43"/>
      <c r="D42" s="43"/>
      <c r="E42" s="43"/>
    </row>
    <row r="43" spans="1:5" x14ac:dyDescent="0.25">
      <c r="A43" s="43"/>
      <c r="B43" s="43"/>
      <c r="C43" s="43"/>
      <c r="D43" s="43"/>
      <c r="E43" s="43"/>
    </row>
    <row r="44" spans="1:5" x14ac:dyDescent="0.25">
      <c r="A44" s="43"/>
      <c r="B44" s="43"/>
      <c r="C44" s="43"/>
      <c r="D44" s="43"/>
      <c r="E44" s="43"/>
    </row>
    <row r="45" spans="1:5" x14ac:dyDescent="0.25">
      <c r="A45" s="43"/>
      <c r="B45" s="43"/>
      <c r="C45" s="43"/>
      <c r="D45" s="43"/>
      <c r="E45" s="43"/>
    </row>
    <row r="46" spans="1:5" x14ac:dyDescent="0.25">
      <c r="A46" s="43"/>
      <c r="B46" s="43"/>
      <c r="C46" s="43"/>
      <c r="D46" s="43"/>
      <c r="E46" s="43"/>
    </row>
    <row r="47" spans="1:5" x14ac:dyDescent="0.25">
      <c r="A47" s="43"/>
      <c r="B47" s="43"/>
      <c r="C47" s="43"/>
      <c r="D47" s="43"/>
      <c r="E47" s="43"/>
    </row>
    <row r="48" spans="1:5" x14ac:dyDescent="0.25">
      <c r="A48" s="43"/>
      <c r="B48" s="43"/>
      <c r="C48" s="43"/>
      <c r="D48" s="43"/>
      <c r="E48" s="43"/>
    </row>
  </sheetData>
  <phoneticPr fontId="1" type="noConversion"/>
  <pageMargins left="0.25" right="0.25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FF43D-9D9B-43E5-9A20-6D66F3D7702F}">
  <sheetPr codeName="Hoja5"/>
  <dimension ref="A2:P25"/>
  <sheetViews>
    <sheetView topLeftCell="A3" workbookViewId="0">
      <selection activeCell="H14" sqref="H14"/>
    </sheetView>
  </sheetViews>
  <sheetFormatPr baseColWidth="10" defaultRowHeight="15" x14ac:dyDescent="0.25"/>
  <cols>
    <col min="1" max="1" width="11.42578125" style="32"/>
    <col min="2" max="2" width="12.7109375" style="32" customWidth="1"/>
    <col min="3" max="3" width="11.42578125" style="32"/>
    <col min="4" max="4" width="18.7109375" style="32" bestFit="1" customWidth="1"/>
    <col min="5" max="5" width="11.42578125" style="32"/>
    <col min="6" max="6" width="13.7109375" style="32" bestFit="1" customWidth="1"/>
    <col min="7" max="7" width="4.140625" style="32" customWidth="1"/>
    <col min="8" max="8" width="16.7109375" style="32" bestFit="1" customWidth="1"/>
    <col min="9" max="16" width="11.42578125" style="32"/>
  </cols>
  <sheetData>
    <row r="2" spans="1:12" x14ac:dyDescent="0.25">
      <c r="A2" s="32">
        <v>1</v>
      </c>
      <c r="D2" s="32" t="s">
        <v>27</v>
      </c>
      <c r="H2" s="32" t="s">
        <v>26</v>
      </c>
      <c r="K2" s="32" t="s">
        <v>16</v>
      </c>
    </row>
    <row r="3" spans="1:12" x14ac:dyDescent="0.25">
      <c r="A3" s="32">
        <v>2</v>
      </c>
      <c r="D3" s="32" t="s">
        <v>23</v>
      </c>
      <c r="E3" s="33">
        <f>CALCULADORA!H9*CALCULADORA!H13/(1-(1+CALCULADORA!H13)^-CALCULADORA!H15)</f>
        <v>2252.649649037819</v>
      </c>
      <c r="H3" s="32" t="s">
        <v>25</v>
      </c>
      <c r="I3" s="33">
        <f>(L3-CALCULADORA!H9)/CALCULADORA!H15</f>
        <v>1419.3163157044855</v>
      </c>
      <c r="K3" s="32" t="s">
        <v>21</v>
      </c>
      <c r="L3" s="33">
        <f>E3*CALCULADORA!H15</f>
        <v>27031.795788453826</v>
      </c>
    </row>
    <row r="4" spans="1:12" x14ac:dyDescent="0.25">
      <c r="A4" s="32">
        <v>3</v>
      </c>
      <c r="D4" s="32" t="s">
        <v>24</v>
      </c>
      <c r="E4" s="33">
        <f>E9+I4</f>
        <v>2833.333333333333</v>
      </c>
      <c r="H4" s="32" t="s">
        <v>40</v>
      </c>
      <c r="I4" s="33">
        <f>(CALCULADORA!H9*((1+CALCULADORA!H13)^(CALCULADORA!H15/12)-1))</f>
        <v>1999.9999999999995</v>
      </c>
      <c r="K4" s="32" t="s">
        <v>22</v>
      </c>
      <c r="L4" s="33">
        <f>E4*CALCULADORA!H15</f>
        <v>34000</v>
      </c>
    </row>
    <row r="5" spans="1:12" x14ac:dyDescent="0.25">
      <c r="A5" s="32">
        <v>4</v>
      </c>
    </row>
    <row r="6" spans="1:12" x14ac:dyDescent="0.25">
      <c r="A6" s="32">
        <v>5</v>
      </c>
      <c r="C6" s="34"/>
    </row>
    <row r="7" spans="1:12" x14ac:dyDescent="0.25">
      <c r="A7" s="32">
        <v>6</v>
      </c>
      <c r="E7" s="32" t="s">
        <v>41</v>
      </c>
    </row>
    <row r="8" spans="1:12" x14ac:dyDescent="0.25">
      <c r="A8" s="32">
        <v>7</v>
      </c>
      <c r="C8" s="32" t="s">
        <v>21</v>
      </c>
      <c r="E8" s="33">
        <f>E3-I3</f>
        <v>833.33333333333348</v>
      </c>
      <c r="H8" s="32" t="s">
        <v>45</v>
      </c>
      <c r="I8" s="32">
        <f>CALCULADORA!H9</f>
        <v>10000</v>
      </c>
    </row>
    <row r="9" spans="1:12" x14ac:dyDescent="0.25">
      <c r="A9" s="32">
        <v>8</v>
      </c>
      <c r="C9" s="32" t="s">
        <v>22</v>
      </c>
      <c r="E9" s="33">
        <f>CALCULADORA!H9/CALCULADORA!H15</f>
        <v>833.33333333333337</v>
      </c>
      <c r="F9" s="33"/>
    </row>
    <row r="10" spans="1:12" x14ac:dyDescent="0.25">
      <c r="A10" s="32">
        <v>9</v>
      </c>
      <c r="C10" s="32" t="s">
        <v>57</v>
      </c>
    </row>
    <row r="11" spans="1:12" x14ac:dyDescent="0.25">
      <c r="A11" s="32">
        <v>10</v>
      </c>
    </row>
    <row r="12" spans="1:12" x14ac:dyDescent="0.25">
      <c r="A12" s="32">
        <v>11</v>
      </c>
    </row>
    <row r="13" spans="1:12" x14ac:dyDescent="0.25">
      <c r="A13" s="32">
        <v>12</v>
      </c>
    </row>
    <row r="14" spans="1:12" x14ac:dyDescent="0.25">
      <c r="A14" s="32">
        <v>13</v>
      </c>
    </row>
    <row r="15" spans="1:12" x14ac:dyDescent="0.25">
      <c r="A15" s="32">
        <v>14</v>
      </c>
    </row>
    <row r="16" spans="1:12" x14ac:dyDescent="0.25">
      <c r="A16" s="32">
        <v>15</v>
      </c>
    </row>
    <row r="17" spans="1:1" x14ac:dyDescent="0.25">
      <c r="A17" s="32">
        <v>16</v>
      </c>
    </row>
    <row r="18" spans="1:1" x14ac:dyDescent="0.25">
      <c r="A18" s="32">
        <v>17</v>
      </c>
    </row>
    <row r="19" spans="1:1" x14ac:dyDescent="0.25">
      <c r="A19" s="32">
        <v>18</v>
      </c>
    </row>
    <row r="20" spans="1:1" x14ac:dyDescent="0.25">
      <c r="A20" s="32">
        <v>19</v>
      </c>
    </row>
    <row r="21" spans="1:1" x14ac:dyDescent="0.25">
      <c r="A21" s="32">
        <v>20</v>
      </c>
    </row>
    <row r="22" spans="1:1" x14ac:dyDescent="0.25">
      <c r="A22" s="32">
        <v>21</v>
      </c>
    </row>
    <row r="23" spans="1:1" x14ac:dyDescent="0.25">
      <c r="A23" s="32">
        <v>22</v>
      </c>
    </row>
    <row r="24" spans="1:1" x14ac:dyDescent="0.25">
      <c r="A24" s="32">
        <v>23</v>
      </c>
    </row>
    <row r="25" spans="1:1" x14ac:dyDescent="0.25">
      <c r="A25" s="32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4606-4AC8-470B-A77A-0316E2C500EE}">
  <sheetPr codeName="Hoja6"/>
  <dimension ref="A1:E2"/>
  <sheetViews>
    <sheetView workbookViewId="0">
      <selection activeCell="B2" sqref="B2"/>
    </sheetView>
  </sheetViews>
  <sheetFormatPr baseColWidth="10" defaultRowHeight="15" x14ac:dyDescent="0.25"/>
  <cols>
    <col min="1" max="1" width="11.140625" bestFit="1" customWidth="1"/>
    <col min="2" max="2" width="14.7109375" bestFit="1" customWidth="1"/>
    <col min="3" max="3" width="10.7109375" bestFit="1" customWidth="1"/>
    <col min="4" max="4" width="13" bestFit="1" customWidth="1"/>
    <col min="5" max="5" width="12.5703125" bestFit="1" customWidth="1"/>
  </cols>
  <sheetData>
    <row r="1" spans="1:5" x14ac:dyDescent="0.25">
      <c r="A1" s="26" t="s">
        <v>48</v>
      </c>
      <c r="B1" s="26" t="s">
        <v>49</v>
      </c>
      <c r="C1" s="26" t="s">
        <v>50</v>
      </c>
      <c r="D1" s="26" t="s">
        <v>51</v>
      </c>
      <c r="E1" s="26" t="s">
        <v>52</v>
      </c>
    </row>
    <row r="2" spans="1:5" x14ac:dyDescent="0.25">
      <c r="A2" s="26" t="s">
        <v>53</v>
      </c>
      <c r="B2" s="26">
        <v>0.99</v>
      </c>
      <c r="C2" s="26">
        <v>1.589</v>
      </c>
      <c r="D2" s="26">
        <v>1.1979</v>
      </c>
      <c r="E2" s="26">
        <v>2.1324000000000001</v>
      </c>
    </row>
  </sheetData>
  <sheetProtection algorithmName="SHA-512" hashValue="FfYm8zCuPl0xaFLtnOZkr50nY549CH8FZNlvfjyOeTXgGHp70/ZChvqdxT69RVMk8VKPfk7ELlo7yCAhItSu1A==" saltValue="ekWI5nWWfCpO10Ea9oMEY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B051AA-C19D-4643-B439-D18B096A21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CLIENTES</vt:lpstr>
      <vt:lpstr>CALCULADORA</vt:lpstr>
      <vt:lpstr>ESTADOS</vt:lpstr>
      <vt:lpstr>RESUMEN</vt:lpstr>
      <vt:lpstr>FACTURACION</vt:lpstr>
      <vt:lpstr>DATOS</vt:lpstr>
      <vt:lpstr>Table 1</vt:lpstr>
      <vt:lpstr>MODALIDAD</vt:lpstr>
      <vt:lpstr>NUMCUOTAS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</dc:creator>
  <cp:lastModifiedBy>Maria</cp:lastModifiedBy>
  <cp:lastPrinted>2024-05-05T16:46:51Z</cp:lastPrinted>
  <dcterms:created xsi:type="dcterms:W3CDTF">2024-04-03T16:41:20Z</dcterms:created>
  <dcterms:modified xsi:type="dcterms:W3CDTF">2024-06-23T07:03:57Z</dcterms:modified>
</cp:coreProperties>
</file>